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cd501\My Drive\Acc and Fin Group\# MAN00035C Quantitative Analysis in Business Studies\Week 1 2026\Lectures\Lecture 3\"/>
    </mc:Choice>
  </mc:AlternateContent>
  <xr:revisionPtr revIDLastSave="0" documentId="13_ncr:1_{5AF0E51D-003C-44CB-A867-4C7AAE36CB71}" xr6:coauthVersionLast="47" xr6:coauthVersionMax="47" xr10:uidLastSave="{00000000-0000-0000-0000-000000000000}"/>
  <bookViews>
    <workbookView xWindow="11370" yWindow="4275" windowWidth="18615" windowHeight="14085" activeTab="1" xr2:uid="{00000000-000D-0000-FFFF-FFFF00000000}"/>
  </bookViews>
  <sheets>
    <sheet name="Questions" sheetId="1" r:id="rId1"/>
    <sheet name="Solutions" sheetId="2" r:id="rId2"/>
  </sheets>
  <definedNames>
    <definedName name="_xlnm._FilterDatabase" localSheetId="0" hidden="1">Questions!$A$3:$E$16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D35" i="2"/>
  <c r="E34" i="2"/>
  <c r="D34" i="2"/>
  <c r="E32" i="2"/>
  <c r="E33" i="2" s="1"/>
  <c r="D32" i="2"/>
  <c r="D33" i="2" s="1"/>
  <c r="E30" i="2"/>
  <c r="D30" i="2"/>
  <c r="D31" i="2" s="1"/>
  <c r="E29" i="2"/>
  <c r="D29" i="2"/>
  <c r="E26" i="2"/>
  <c r="D26" i="2"/>
  <c r="E27" i="2"/>
  <c r="D27" i="2"/>
  <c r="D36" i="2" l="1"/>
  <c r="E36" i="2"/>
  <c r="E31" i="2"/>
</calcChain>
</file>

<file path=xl/sharedStrings.xml><?xml version="1.0" encoding="utf-8"?>
<sst xmlns="http://schemas.openxmlformats.org/spreadsheetml/2006/main" count="162" uniqueCount="69">
  <si>
    <t>AAPL</t>
  </si>
  <si>
    <t>Technology</t>
  </si>
  <si>
    <t>MSFT</t>
  </si>
  <si>
    <t>JPM</t>
  </si>
  <si>
    <t>Finance</t>
  </si>
  <si>
    <t>XOM</t>
  </si>
  <si>
    <t>Energy</t>
  </si>
  <si>
    <t>V</t>
  </si>
  <si>
    <t>TSLA</t>
  </si>
  <si>
    <t>Consumer Disc.</t>
  </si>
  <si>
    <t>NVDA</t>
  </si>
  <si>
    <t>PFE</t>
  </si>
  <si>
    <t>Healthcare</t>
  </si>
  <si>
    <t>CVX</t>
  </si>
  <si>
    <t>GS</t>
  </si>
  <si>
    <t>AMZN</t>
  </si>
  <si>
    <t>UNH</t>
  </si>
  <si>
    <t>BRK.B</t>
  </si>
  <si>
    <t>Firm Name</t>
  </si>
  <si>
    <t>Ticker</t>
  </si>
  <si>
    <t>Sector</t>
  </si>
  <si>
    <t>Market Cap ($bn)</t>
  </si>
  <si>
    <t>Daily Return (%)</t>
  </si>
  <si>
    <t>Apple Inc.</t>
  </si>
  <si>
    <t>Microsoft Corp.</t>
  </si>
  <si>
    <t>JPMorgan Chase &amp; Co.</t>
  </si>
  <si>
    <t>Exxon Mobil Corp.</t>
  </si>
  <si>
    <t>Visa Inc.</t>
  </si>
  <si>
    <t>Tesla, Inc.</t>
  </si>
  <si>
    <t>NVIDIA Corp.</t>
  </si>
  <si>
    <t>Pfizer Inc.</t>
  </si>
  <si>
    <t>Chevron Corp.</t>
  </si>
  <si>
    <t>Goldman Sachs Group</t>
  </si>
  <si>
    <t>Amazon.com, Inc.</t>
  </si>
  <si>
    <t>UnitedHealth Group</t>
  </si>
  <si>
    <t>Berkshire Hathaway</t>
  </si>
  <si>
    <t>Question 1:</t>
  </si>
  <si>
    <t>Whych type is each of the variables in the dataset?</t>
  </si>
  <si>
    <t>Question 2:</t>
  </si>
  <si>
    <t>Mode</t>
  </si>
  <si>
    <t>Median</t>
  </si>
  <si>
    <t>Mean</t>
  </si>
  <si>
    <t>Calculate the following descriptive statistics (where applicable) for the variables Sector, Market Cap, and Daily Return:</t>
  </si>
  <si>
    <t>Number of categories</t>
  </si>
  <si>
    <t>Range</t>
  </si>
  <si>
    <t>Variance</t>
  </si>
  <si>
    <t>Standard deviation</t>
  </si>
  <si>
    <t>First quartile</t>
  </si>
  <si>
    <t>Third quartile</t>
  </si>
  <si>
    <t>Interquartile range</t>
  </si>
  <si>
    <t>Question 3:</t>
  </si>
  <si>
    <t>Draw a graph for the number of firms per Sector</t>
  </si>
  <si>
    <t>Plot the variable Market Cap against Daily Return</t>
  </si>
  <si>
    <t>not defined</t>
  </si>
  <si>
    <t>Minimum</t>
  </si>
  <si>
    <t>Maximum</t>
  </si>
  <si>
    <t>Market Cap</t>
  </si>
  <si>
    <t>Daily Return</t>
  </si>
  <si>
    <t>Portfolio of financial assets on a given day</t>
  </si>
  <si>
    <t>Question 4:</t>
  </si>
  <si>
    <t>Which one is the most appropriate measure of tendency for Sector, Market Cap, and Daily Return?</t>
  </si>
  <si>
    <t>Sector: mode</t>
  </si>
  <si>
    <t>Market Cap: median</t>
  </si>
  <si>
    <t>Daily Return: Mean or median</t>
  </si>
  <si>
    <t>Question 5:</t>
  </si>
  <si>
    <t>Comment on what you can observe on the plot Market Cap against Daily Return</t>
  </si>
  <si>
    <t>There are two firms with much larger Market Cap</t>
  </si>
  <si>
    <t>If we group firms into Low Cap and High Cap, Firms with High Cap have lower Return spread than the firms with Low Market Cap</t>
  </si>
  <si>
    <t>Sector: categorical nominal
Market Cap: scalar continuous
Daily Returns: Scalar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</si>
</sst>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Questions!$E$3</c:f>
              <c:strCache>
                <c:ptCount val="1"/>
                <c:pt idx="0">
                  <c:v>Daily Return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Questions!$D$4:$D$16</c:f>
              <c:numCache>
                <c:formatCode>General</c:formatCode>
                <c:ptCount val="13"/>
                <c:pt idx="0">
                  <c:v>720.4</c:v>
                </c:pt>
                <c:pt idx="1">
                  <c:v>1450.3</c:v>
                </c:pt>
                <c:pt idx="2">
                  <c:v>420.1</c:v>
                </c:pt>
                <c:pt idx="3">
                  <c:v>280.60000000000002</c:v>
                </c:pt>
                <c:pt idx="4">
                  <c:v>495.3</c:v>
                </c:pt>
                <c:pt idx="5">
                  <c:v>485.8</c:v>
                </c:pt>
                <c:pt idx="6">
                  <c:v>125.7</c:v>
                </c:pt>
                <c:pt idx="7">
                  <c:v>770.9</c:v>
                </c:pt>
                <c:pt idx="8">
                  <c:v>155.19999999999999</c:v>
                </c:pt>
                <c:pt idx="9">
                  <c:v>475.1</c:v>
                </c:pt>
                <c:pt idx="10">
                  <c:v>2850.5</c:v>
                </c:pt>
                <c:pt idx="11">
                  <c:v>2710.2</c:v>
                </c:pt>
                <c:pt idx="12">
                  <c:v>1150.9000000000001</c:v>
                </c:pt>
              </c:numCache>
            </c:numRef>
          </c:xVal>
          <c:yVal>
            <c:numRef>
              <c:f>Questions!$E$4:$E$16</c:f>
              <c:numCache>
                <c:formatCode>General</c:formatCode>
                <c:ptCount val="13"/>
                <c:pt idx="0">
                  <c:v>3.45</c:v>
                </c:pt>
                <c:pt idx="1">
                  <c:v>0.67</c:v>
                </c:pt>
                <c:pt idx="2">
                  <c:v>-1.1000000000000001</c:v>
                </c:pt>
                <c:pt idx="3">
                  <c:v>-0.92</c:v>
                </c:pt>
                <c:pt idx="4">
                  <c:v>0.88</c:v>
                </c:pt>
                <c:pt idx="5">
                  <c:v>0.32</c:v>
                </c:pt>
                <c:pt idx="6">
                  <c:v>1.1499999999999999</c:v>
                </c:pt>
                <c:pt idx="7">
                  <c:v>0.05</c:v>
                </c:pt>
                <c:pt idx="8">
                  <c:v>-0.15</c:v>
                </c:pt>
                <c:pt idx="9">
                  <c:v>-0.38</c:v>
                </c:pt>
                <c:pt idx="10">
                  <c:v>1.25</c:v>
                </c:pt>
                <c:pt idx="11">
                  <c:v>-0.42</c:v>
                </c:pt>
                <c:pt idx="12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F-420F-BF6C-87B96165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986895"/>
        <c:axId val="1092985935"/>
      </c:scatterChart>
      <c:valAx>
        <c:axId val="109298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Market</a:t>
                </a:r>
                <a:r>
                  <a:rPr lang="en-GB" baseline="0"/>
                  <a:t> Cap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85935"/>
        <c:crosses val="autoZero"/>
        <c:crossBetween val="midCat"/>
      </c:valAx>
      <c:valAx>
        <c:axId val="10929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ADaily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8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</a:t>
            </a:r>
            <a:r>
              <a:rPr lang="en-GB" baseline="0"/>
              <a:t> of firms per sector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Solutions!$A$42:$A$46</c:f>
              <c:strCache>
                <c:ptCount val="5"/>
                <c:pt idx="0">
                  <c:v>Consumer Disc.</c:v>
                </c:pt>
                <c:pt idx="1">
                  <c:v>Energy</c:v>
                </c:pt>
                <c:pt idx="2">
                  <c:v>Finance</c:v>
                </c:pt>
                <c:pt idx="3">
                  <c:v>Healthcare</c:v>
                </c:pt>
                <c:pt idx="4">
                  <c:v>Technology</c:v>
                </c:pt>
              </c:strCache>
            </c:strRef>
          </c:cat>
          <c:val>
            <c:numRef>
              <c:f>Solutions!$B$42:$B$46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F-4A65-AADB-EBBB57A25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010303"/>
        <c:axId val="1119011263"/>
      </c:barChart>
      <c:catAx>
        <c:axId val="111901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11263"/>
        <c:crosses val="autoZero"/>
        <c:auto val="1"/>
        <c:lblAlgn val="ctr"/>
        <c:lblOffset val="100"/>
        <c:noMultiLvlLbl val="0"/>
      </c:catAx>
      <c:valAx>
        <c:axId val="111901126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103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</xdr:colOff>
      <xdr:row>46</xdr:row>
      <xdr:rowOff>95250</xdr:rowOff>
    </xdr:from>
    <xdr:to>
      <xdr:col>9</xdr:col>
      <xdr:colOff>300037</xdr:colOff>
      <xdr:row>60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C0E27-2C4D-4635-91AF-F00D4134A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728662</xdr:colOff>
      <xdr:row>46</xdr:row>
      <xdr:rowOff>90487</xdr:rowOff>
    </xdr:from>
    <xdr:to>
      <xdr:col>3</xdr:col>
      <xdr:colOff>1042987</xdr:colOff>
      <xdr:row>60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DC2D58-7BF0-BA14-4182-AA60E9DC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workbookViewId="0">
      <pane ySplit="16" topLeftCell="A17" activePane="bottomLeft" state="frozen"/>
      <selection pane="bottomLeft" activeCell="A39" sqref="A39"/>
    </sheetView>
  </sheetViews>
  <sheetFormatPr defaultRowHeight="14.5" x14ac:dyDescent="0.35"/>
  <cols>
    <col min="1" max="1" width="26.1796875" customWidth="1"/>
    <col min="2" max="5" width="18.81640625" customWidth="1"/>
  </cols>
  <sheetData>
    <row r="1" spans="1:5" ht="30" customHeight="1" x14ac:dyDescent="0.35">
      <c r="A1" s="12" t="s">
        <v>58</v>
      </c>
      <c r="B1" s="12"/>
      <c r="C1" s="12"/>
      <c r="D1" s="12"/>
      <c r="E1" s="12"/>
    </row>
    <row r="2" spans="1:5" ht="15" thickBot="1" x14ac:dyDescent="0.4"/>
    <row r="3" spans="1:5" ht="30" customHeight="1" thickBot="1" x14ac:dyDescent="0.4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</row>
    <row r="4" spans="1:5" ht="22.5" customHeight="1" thickBot="1" x14ac:dyDescent="0.4">
      <c r="A4" s="1" t="s">
        <v>28</v>
      </c>
      <c r="B4" s="1" t="s">
        <v>8</v>
      </c>
      <c r="C4" s="1" t="s">
        <v>9</v>
      </c>
      <c r="D4" s="2">
        <v>720.4</v>
      </c>
      <c r="E4" s="1">
        <v>3.45</v>
      </c>
    </row>
    <row r="5" spans="1:5" ht="15" thickBot="1" x14ac:dyDescent="0.4">
      <c r="A5" s="1" t="s">
        <v>33</v>
      </c>
      <c r="B5" s="1" t="s">
        <v>15</v>
      </c>
      <c r="C5" s="1" t="s">
        <v>9</v>
      </c>
      <c r="D5" s="2">
        <v>1450.3</v>
      </c>
      <c r="E5" s="1">
        <v>0.67</v>
      </c>
    </row>
    <row r="6" spans="1:5" ht="16.5" customHeight="1" thickBot="1" x14ac:dyDescent="0.4">
      <c r="A6" s="1" t="s">
        <v>26</v>
      </c>
      <c r="B6" s="1" t="s">
        <v>5</v>
      </c>
      <c r="C6" s="1" t="s">
        <v>6</v>
      </c>
      <c r="D6" s="2">
        <v>420.1</v>
      </c>
      <c r="E6" s="2">
        <v>-1.1000000000000001</v>
      </c>
    </row>
    <row r="7" spans="1:5" ht="15" thickBot="1" x14ac:dyDescent="0.4">
      <c r="A7" s="1" t="s">
        <v>31</v>
      </c>
      <c r="B7" s="1" t="s">
        <v>13</v>
      </c>
      <c r="C7" s="1" t="s">
        <v>6</v>
      </c>
      <c r="D7" s="2">
        <v>280.60000000000002</v>
      </c>
      <c r="E7" s="2">
        <v>-0.92</v>
      </c>
    </row>
    <row r="8" spans="1:5" ht="15" thickBot="1" x14ac:dyDescent="0.4">
      <c r="A8" s="1" t="s">
        <v>25</v>
      </c>
      <c r="B8" s="1" t="s">
        <v>3</v>
      </c>
      <c r="C8" s="1" t="s">
        <v>4</v>
      </c>
      <c r="D8" s="2">
        <v>495.3</v>
      </c>
      <c r="E8" s="1">
        <v>0.88</v>
      </c>
    </row>
    <row r="9" spans="1:5" ht="15" thickBot="1" x14ac:dyDescent="0.4">
      <c r="A9" s="1" t="s">
        <v>27</v>
      </c>
      <c r="B9" s="1" t="s">
        <v>7</v>
      </c>
      <c r="C9" s="1" t="s">
        <v>4</v>
      </c>
      <c r="D9" s="2">
        <v>485.8</v>
      </c>
      <c r="E9" s="1">
        <v>0.32</v>
      </c>
    </row>
    <row r="10" spans="1:5" ht="15" thickBot="1" x14ac:dyDescent="0.4">
      <c r="A10" s="1" t="s">
        <v>32</v>
      </c>
      <c r="B10" s="1" t="s">
        <v>14</v>
      </c>
      <c r="C10" s="1" t="s">
        <v>4</v>
      </c>
      <c r="D10" s="2">
        <v>125.7</v>
      </c>
      <c r="E10" s="1">
        <v>1.1499999999999999</v>
      </c>
    </row>
    <row r="11" spans="1:5" ht="15" thickBot="1" x14ac:dyDescent="0.4">
      <c r="A11" s="1" t="s">
        <v>35</v>
      </c>
      <c r="B11" s="1" t="s">
        <v>17</v>
      </c>
      <c r="C11" s="1" t="s">
        <v>4</v>
      </c>
      <c r="D11" s="2">
        <v>770.9</v>
      </c>
      <c r="E11" s="1">
        <v>0.05</v>
      </c>
    </row>
    <row r="12" spans="1:5" ht="15" thickBot="1" x14ac:dyDescent="0.4">
      <c r="A12" s="1" t="s">
        <v>30</v>
      </c>
      <c r="B12" s="1" t="s">
        <v>11</v>
      </c>
      <c r="C12" s="1" t="s">
        <v>12</v>
      </c>
      <c r="D12" s="2">
        <v>155.19999999999999</v>
      </c>
      <c r="E12" s="2">
        <v>-0.15</v>
      </c>
    </row>
    <row r="13" spans="1:5" ht="18.75" customHeight="1" thickBot="1" x14ac:dyDescent="0.4">
      <c r="A13" s="1" t="s">
        <v>34</v>
      </c>
      <c r="B13" s="1" t="s">
        <v>16</v>
      </c>
      <c r="C13" s="1" t="s">
        <v>12</v>
      </c>
      <c r="D13" s="2">
        <v>475.1</v>
      </c>
      <c r="E13" s="2">
        <v>-0.38</v>
      </c>
    </row>
    <row r="14" spans="1:5" ht="15" thickBot="1" x14ac:dyDescent="0.4">
      <c r="A14" s="1" t="s">
        <v>23</v>
      </c>
      <c r="B14" s="1" t="s">
        <v>0</v>
      </c>
      <c r="C14" s="1" t="s">
        <v>1</v>
      </c>
      <c r="D14" s="2">
        <v>2850.5</v>
      </c>
      <c r="E14" s="1">
        <v>1.25</v>
      </c>
    </row>
    <row r="15" spans="1:5" ht="15" thickBot="1" x14ac:dyDescent="0.4">
      <c r="A15" s="1" t="s">
        <v>24</v>
      </c>
      <c r="B15" s="1" t="s">
        <v>2</v>
      </c>
      <c r="C15" s="1" t="s">
        <v>1</v>
      </c>
      <c r="D15" s="2">
        <v>2710.2</v>
      </c>
      <c r="E15" s="2">
        <v>-0.42</v>
      </c>
    </row>
    <row r="16" spans="1:5" ht="15" thickBot="1" x14ac:dyDescent="0.4">
      <c r="A16" s="1" t="s">
        <v>29</v>
      </c>
      <c r="B16" s="1" t="s">
        <v>10</v>
      </c>
      <c r="C16" s="1" t="s">
        <v>1</v>
      </c>
      <c r="D16" s="2">
        <v>1150.9000000000001</v>
      </c>
      <c r="E16" s="1">
        <v>2.1</v>
      </c>
    </row>
    <row r="18" spans="1:5" x14ac:dyDescent="0.35">
      <c r="A18" s="6" t="s">
        <v>36</v>
      </c>
    </row>
    <row r="19" spans="1:5" ht="14.25" customHeight="1" x14ac:dyDescent="0.35">
      <c r="A19" s="4" t="s">
        <v>37</v>
      </c>
      <c r="B19" s="4"/>
      <c r="C19" s="4"/>
      <c r="D19" s="4"/>
      <c r="E19" s="4"/>
    </row>
    <row r="21" spans="1:5" x14ac:dyDescent="0.35">
      <c r="A21" s="7" t="s">
        <v>38</v>
      </c>
    </row>
    <row r="22" spans="1:5" x14ac:dyDescent="0.35">
      <c r="A22" t="s">
        <v>42</v>
      </c>
    </row>
    <row r="23" spans="1:5" x14ac:dyDescent="0.35">
      <c r="A23" t="s">
        <v>39</v>
      </c>
    </row>
    <row r="24" spans="1:5" x14ac:dyDescent="0.35">
      <c r="A24" t="s">
        <v>40</v>
      </c>
    </row>
    <row r="25" spans="1:5" x14ac:dyDescent="0.35">
      <c r="A25" t="s">
        <v>41</v>
      </c>
    </row>
    <row r="26" spans="1:5" x14ac:dyDescent="0.35">
      <c r="A26" t="s">
        <v>43</v>
      </c>
    </row>
    <row r="27" spans="1:5" x14ac:dyDescent="0.35">
      <c r="A27" t="s">
        <v>44</v>
      </c>
    </row>
    <row r="28" spans="1:5" x14ac:dyDescent="0.35">
      <c r="A28" t="s">
        <v>45</v>
      </c>
    </row>
    <row r="29" spans="1:5" x14ac:dyDescent="0.35">
      <c r="A29" t="s">
        <v>46</v>
      </c>
    </row>
    <row r="30" spans="1:5" x14ac:dyDescent="0.35">
      <c r="A30" t="s">
        <v>47</v>
      </c>
    </row>
    <row r="31" spans="1:5" x14ac:dyDescent="0.35">
      <c r="A31" t="s">
        <v>48</v>
      </c>
    </row>
    <row r="32" spans="1:5" x14ac:dyDescent="0.35">
      <c r="A32" t="s">
        <v>49</v>
      </c>
    </row>
    <row r="34" spans="1:1" x14ac:dyDescent="0.35">
      <c r="A34" s="7" t="s">
        <v>50</v>
      </c>
    </row>
    <row r="35" spans="1:1" x14ac:dyDescent="0.35">
      <c r="A35" t="s">
        <v>51</v>
      </c>
    </row>
    <row r="36" spans="1:1" x14ac:dyDescent="0.35">
      <c r="A36" t="s">
        <v>52</v>
      </c>
    </row>
    <row r="38" spans="1:1" x14ac:dyDescent="0.35">
      <c r="A38" s="7" t="s">
        <v>59</v>
      </c>
    </row>
    <row r="39" spans="1:1" x14ac:dyDescent="0.35">
      <c r="A39" t="s">
        <v>60</v>
      </c>
    </row>
    <row r="41" spans="1:1" x14ac:dyDescent="0.35">
      <c r="A41" s="7" t="s">
        <v>64</v>
      </c>
    </row>
    <row r="42" spans="1:1" x14ac:dyDescent="0.35">
      <c r="A42" t="s">
        <v>65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3856-B8AB-4B40-B4C3-13B2AA00315B}">
  <dimension ref="A1:G74"/>
  <sheetViews>
    <sheetView tabSelected="1" topLeftCell="A45" workbookViewId="0">
      <selection activeCell="G1" sqref="G1"/>
    </sheetView>
  </sheetViews>
  <sheetFormatPr defaultRowHeight="14.5" x14ac:dyDescent="0.35"/>
  <cols>
    <col min="1" max="1" width="26.1796875" customWidth="1"/>
    <col min="2" max="6" width="18.81640625" customWidth="1"/>
    <col min="7" max="7" width="20.453125" customWidth="1"/>
  </cols>
  <sheetData>
    <row r="1" spans="1:7" ht="30" customHeight="1" thickBot="1" x14ac:dyDescent="0.4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5"/>
      <c r="G1" s="5"/>
    </row>
    <row r="2" spans="1:7" ht="22.5" customHeight="1" thickBot="1" x14ac:dyDescent="0.4">
      <c r="A2" s="1" t="s">
        <v>32</v>
      </c>
      <c r="B2" s="1" t="s">
        <v>14</v>
      </c>
      <c r="C2" s="1" t="s">
        <v>4</v>
      </c>
      <c r="D2" s="2">
        <v>125.7</v>
      </c>
      <c r="E2" s="1">
        <v>1.1499999999999999</v>
      </c>
    </row>
    <row r="3" spans="1:7" ht="15" thickBot="1" x14ac:dyDescent="0.4">
      <c r="A3" s="1" t="s">
        <v>30</v>
      </c>
      <c r="B3" s="1" t="s">
        <v>11</v>
      </c>
      <c r="C3" s="1" t="s">
        <v>12</v>
      </c>
      <c r="D3" s="2">
        <v>155.19999999999999</v>
      </c>
      <c r="E3" s="2">
        <v>-0.15</v>
      </c>
    </row>
    <row r="4" spans="1:7" ht="16.5" customHeight="1" thickBot="1" x14ac:dyDescent="0.4">
      <c r="A4" s="1" t="s">
        <v>31</v>
      </c>
      <c r="B4" s="1" t="s">
        <v>13</v>
      </c>
      <c r="C4" s="1" t="s">
        <v>6</v>
      </c>
      <c r="D4" s="2">
        <v>280.60000000000002</v>
      </c>
      <c r="E4" s="2">
        <v>-0.92</v>
      </c>
    </row>
    <row r="5" spans="1:7" ht="15" thickBot="1" x14ac:dyDescent="0.4">
      <c r="A5" s="1" t="s">
        <v>26</v>
      </c>
      <c r="B5" s="1" t="s">
        <v>5</v>
      </c>
      <c r="C5" s="1" t="s">
        <v>6</v>
      </c>
      <c r="D5" s="2">
        <v>420.1</v>
      </c>
      <c r="E5" s="2">
        <v>-1.1000000000000001</v>
      </c>
    </row>
    <row r="6" spans="1:7" ht="15" thickBot="1" x14ac:dyDescent="0.4">
      <c r="A6" s="1" t="s">
        <v>34</v>
      </c>
      <c r="B6" s="1" t="s">
        <v>16</v>
      </c>
      <c r="C6" s="1" t="s">
        <v>12</v>
      </c>
      <c r="D6" s="2">
        <v>475.1</v>
      </c>
      <c r="E6" s="2">
        <v>-0.38</v>
      </c>
    </row>
    <row r="7" spans="1:7" ht="15" thickBot="1" x14ac:dyDescent="0.4">
      <c r="A7" s="1" t="s">
        <v>27</v>
      </c>
      <c r="B7" s="1" t="s">
        <v>7</v>
      </c>
      <c r="C7" s="1" t="s">
        <v>4</v>
      </c>
      <c r="D7" s="2">
        <v>485.8</v>
      </c>
      <c r="E7" s="1">
        <v>0.32</v>
      </c>
    </row>
    <row r="8" spans="1:7" ht="23.25" customHeight="1" thickBot="1" x14ac:dyDescent="0.4">
      <c r="A8" s="1" t="s">
        <v>25</v>
      </c>
      <c r="B8" s="1" t="s">
        <v>3</v>
      </c>
      <c r="C8" s="1" t="s">
        <v>4</v>
      </c>
      <c r="D8" s="2">
        <v>495.3</v>
      </c>
      <c r="E8" s="1">
        <v>0.88</v>
      </c>
    </row>
    <row r="9" spans="1:7" ht="15" thickBot="1" x14ac:dyDescent="0.4">
      <c r="A9" s="1" t="s">
        <v>28</v>
      </c>
      <c r="B9" s="1" t="s">
        <v>8</v>
      </c>
      <c r="C9" s="1" t="s">
        <v>9</v>
      </c>
      <c r="D9" s="2">
        <v>720.4</v>
      </c>
      <c r="E9" s="1">
        <v>3.45</v>
      </c>
    </row>
    <row r="10" spans="1:7" ht="15" thickBot="1" x14ac:dyDescent="0.4">
      <c r="A10" s="1" t="s">
        <v>35</v>
      </c>
      <c r="B10" s="1" t="s">
        <v>17</v>
      </c>
      <c r="C10" s="1" t="s">
        <v>4</v>
      </c>
      <c r="D10" s="2">
        <v>770.9</v>
      </c>
      <c r="E10" s="1">
        <v>0.05</v>
      </c>
    </row>
    <row r="11" spans="1:7" ht="18.75" customHeight="1" thickBot="1" x14ac:dyDescent="0.4">
      <c r="A11" s="1" t="s">
        <v>29</v>
      </c>
      <c r="B11" s="1" t="s">
        <v>10</v>
      </c>
      <c r="C11" s="1" t="s">
        <v>1</v>
      </c>
      <c r="D11" s="2">
        <v>1150.9000000000001</v>
      </c>
      <c r="E11" s="1">
        <v>2.1</v>
      </c>
    </row>
    <row r="12" spans="1:7" ht="15" thickBot="1" x14ac:dyDescent="0.4">
      <c r="A12" s="1" t="s">
        <v>33</v>
      </c>
      <c r="B12" s="1" t="s">
        <v>15</v>
      </c>
      <c r="C12" s="1" t="s">
        <v>9</v>
      </c>
      <c r="D12" s="2">
        <v>1450.3</v>
      </c>
      <c r="E12" s="1">
        <v>0.67</v>
      </c>
    </row>
    <row r="13" spans="1:7" ht="15" thickBot="1" x14ac:dyDescent="0.4">
      <c r="A13" s="1" t="s">
        <v>24</v>
      </c>
      <c r="B13" s="1" t="s">
        <v>2</v>
      </c>
      <c r="C13" s="1" t="s">
        <v>1</v>
      </c>
      <c r="D13" s="2">
        <v>2710.2</v>
      </c>
      <c r="E13" s="2">
        <v>-0.42</v>
      </c>
    </row>
    <row r="14" spans="1:7" ht="15" thickBot="1" x14ac:dyDescent="0.4">
      <c r="A14" s="1" t="s">
        <v>23</v>
      </c>
      <c r="B14" s="1" t="s">
        <v>0</v>
      </c>
      <c r="C14" s="1" t="s">
        <v>1</v>
      </c>
      <c r="D14" s="2">
        <v>2850.5</v>
      </c>
      <c r="E14" s="1">
        <v>1.25</v>
      </c>
    </row>
    <row r="16" spans="1:7" x14ac:dyDescent="0.35">
      <c r="A16" s="6" t="s">
        <v>36</v>
      </c>
    </row>
    <row r="17" spans="1:5" ht="14.25" customHeight="1" x14ac:dyDescent="0.35">
      <c r="A17" s="4" t="s">
        <v>37</v>
      </c>
      <c r="B17" s="4"/>
      <c r="C17" s="4"/>
      <c r="D17" s="4"/>
      <c r="E17" s="4"/>
    </row>
    <row r="18" spans="1:5" ht="14.25" customHeight="1" x14ac:dyDescent="0.35">
      <c r="A18" s="4"/>
      <c r="B18" s="4"/>
      <c r="C18" s="4"/>
      <c r="D18" s="4"/>
      <c r="E18" s="4"/>
    </row>
    <row r="19" spans="1:5" ht="66" customHeight="1" x14ac:dyDescent="0.35">
      <c r="A19" s="13" t="s">
        <v>68</v>
      </c>
      <c r="B19" s="13"/>
      <c r="C19" s="13"/>
      <c r="D19" s="13"/>
      <c r="E19" s="13"/>
    </row>
    <row r="21" spans="1:5" x14ac:dyDescent="0.35">
      <c r="A21" s="7" t="s">
        <v>38</v>
      </c>
    </row>
    <row r="22" spans="1:5" x14ac:dyDescent="0.35">
      <c r="A22" t="s">
        <v>42</v>
      </c>
    </row>
    <row r="24" spans="1:5" x14ac:dyDescent="0.35">
      <c r="A24" s="8"/>
      <c r="B24" s="8"/>
      <c r="C24" s="9" t="s">
        <v>20</v>
      </c>
      <c r="D24" s="9" t="s">
        <v>56</v>
      </c>
      <c r="E24" s="9" t="s">
        <v>57</v>
      </c>
    </row>
    <row r="25" spans="1:5" x14ac:dyDescent="0.35">
      <c r="A25" s="8" t="s">
        <v>39</v>
      </c>
      <c r="B25" s="8"/>
      <c r="C25" s="8" t="s">
        <v>4</v>
      </c>
      <c r="D25" s="8" t="s">
        <v>53</v>
      </c>
      <c r="E25" s="8" t="s">
        <v>53</v>
      </c>
    </row>
    <row r="26" spans="1:5" x14ac:dyDescent="0.35">
      <c r="A26" s="8" t="s">
        <v>40</v>
      </c>
      <c r="B26" s="8"/>
      <c r="C26" s="8" t="s">
        <v>53</v>
      </c>
      <c r="D26" s="8">
        <f>MEDIAN(D2:D14)</f>
        <v>495.3</v>
      </c>
      <c r="E26" s="8">
        <f>MEDIAN(E2:E14)</f>
        <v>0.32</v>
      </c>
    </row>
    <row r="27" spans="1:5" x14ac:dyDescent="0.35">
      <c r="A27" s="8" t="s">
        <v>41</v>
      </c>
      <c r="B27" s="8"/>
      <c r="C27" s="8" t="s">
        <v>53</v>
      </c>
      <c r="D27" s="10">
        <f>AVERAGE(D2:D14)</f>
        <v>930.07692307692309</v>
      </c>
      <c r="E27" s="10">
        <f>AVERAGE(E2:E14)</f>
        <v>0.53076923076923077</v>
      </c>
    </row>
    <row r="28" spans="1:5" ht="23.25" customHeight="1" x14ac:dyDescent="0.35">
      <c r="A28" s="8" t="s">
        <v>43</v>
      </c>
      <c r="B28" s="8"/>
      <c r="C28" s="11">
        <v>5</v>
      </c>
      <c r="D28" s="8" t="s">
        <v>53</v>
      </c>
      <c r="E28" s="8" t="s">
        <v>53</v>
      </c>
    </row>
    <row r="29" spans="1:5" ht="23.25" customHeight="1" x14ac:dyDescent="0.35">
      <c r="A29" s="8" t="s">
        <v>54</v>
      </c>
      <c r="B29" s="8"/>
      <c r="C29" s="8" t="s">
        <v>53</v>
      </c>
      <c r="D29" s="8">
        <f>MIN(D2:D14)</f>
        <v>125.7</v>
      </c>
      <c r="E29" s="8">
        <f>MIN(E2:E14)</f>
        <v>-1.1000000000000001</v>
      </c>
    </row>
    <row r="30" spans="1:5" x14ac:dyDescent="0.35">
      <c r="A30" s="8" t="s">
        <v>55</v>
      </c>
      <c r="B30" s="8"/>
      <c r="C30" s="8" t="s">
        <v>53</v>
      </c>
      <c r="D30" s="8">
        <f>MAX(D2:D14)</f>
        <v>2850.5</v>
      </c>
      <c r="E30" s="8">
        <f>MAX(E2:E14)</f>
        <v>3.45</v>
      </c>
    </row>
    <row r="31" spans="1:5" x14ac:dyDescent="0.35">
      <c r="A31" s="8" t="s">
        <v>44</v>
      </c>
      <c r="B31" s="8"/>
      <c r="C31" s="8" t="s">
        <v>53</v>
      </c>
      <c r="D31" s="8">
        <f>D30-D29</f>
        <v>2724.8</v>
      </c>
      <c r="E31" s="8">
        <f>E30-E29</f>
        <v>4.5500000000000007</v>
      </c>
    </row>
    <row r="32" spans="1:5" ht="23.25" customHeight="1" x14ac:dyDescent="0.35">
      <c r="A32" s="8" t="s">
        <v>45</v>
      </c>
      <c r="B32" s="8"/>
      <c r="C32" s="8" t="s">
        <v>53</v>
      </c>
      <c r="D32" s="10">
        <f>_xlfn.VAR.P(D2:D14)</f>
        <v>751409.97869822476</v>
      </c>
      <c r="E32" s="10">
        <f>_xlfn.VAR.P(E2:E14)</f>
        <v>1.4817763313609469</v>
      </c>
    </row>
    <row r="33" spans="1:5" x14ac:dyDescent="0.35">
      <c r="A33" s="8" t="s">
        <v>46</v>
      </c>
      <c r="B33" s="8"/>
      <c r="C33" s="8" t="s">
        <v>53</v>
      </c>
      <c r="D33" s="10">
        <f>SQRT(D32)</f>
        <v>866.8390731261627</v>
      </c>
      <c r="E33" s="10">
        <f>SQRT(E32)</f>
        <v>1.2172823548219809</v>
      </c>
    </row>
    <row r="34" spans="1:5" ht="22.5" customHeight="1" x14ac:dyDescent="0.35">
      <c r="A34" s="8" t="s">
        <v>47</v>
      </c>
      <c r="B34" s="8"/>
      <c r="C34" s="8" t="s">
        <v>53</v>
      </c>
      <c r="D34" s="8">
        <f>_xlfn.QUARTILE.EXC(D2:D14,1)</f>
        <v>350.35</v>
      </c>
      <c r="E34" s="8">
        <f>_xlfn.QUARTILE.EXC(E2:E14,1)</f>
        <v>-0.4</v>
      </c>
    </row>
    <row r="35" spans="1:5" x14ac:dyDescent="0.35">
      <c r="A35" s="8" t="s">
        <v>48</v>
      </c>
      <c r="B35" s="8"/>
      <c r="C35" s="8" t="s">
        <v>53</v>
      </c>
      <c r="D35" s="8">
        <f>_xlfn.QUARTILE.EXC(D2:D14,3)</f>
        <v>1300.5999999999999</v>
      </c>
      <c r="E35" s="8">
        <f>_xlfn.QUARTILE.EXC(E2:E14,3)</f>
        <v>1.2</v>
      </c>
    </row>
    <row r="36" spans="1:5" x14ac:dyDescent="0.35">
      <c r="A36" s="8" t="s">
        <v>49</v>
      </c>
      <c r="B36" s="8"/>
      <c r="C36" s="8" t="s">
        <v>53</v>
      </c>
      <c r="D36" s="8">
        <f>D35-D34</f>
        <v>950.24999999999989</v>
      </c>
      <c r="E36" s="8">
        <f>E35-E34</f>
        <v>1.6</v>
      </c>
    </row>
    <row r="38" spans="1:5" x14ac:dyDescent="0.35">
      <c r="A38" s="7" t="s">
        <v>50</v>
      </c>
    </row>
    <row r="39" spans="1:5" x14ac:dyDescent="0.35">
      <c r="A39" t="s">
        <v>51</v>
      </c>
    </row>
    <row r="40" spans="1:5" x14ac:dyDescent="0.35">
      <c r="A40" t="s">
        <v>52</v>
      </c>
    </row>
    <row r="42" spans="1:5" x14ac:dyDescent="0.35">
      <c r="A42" t="s">
        <v>9</v>
      </c>
      <c r="B42">
        <v>2</v>
      </c>
    </row>
    <row r="43" spans="1:5" x14ac:dyDescent="0.35">
      <c r="A43" t="s">
        <v>6</v>
      </c>
      <c r="B43">
        <v>2</v>
      </c>
    </row>
    <row r="44" spans="1:5" x14ac:dyDescent="0.35">
      <c r="A44" t="s">
        <v>4</v>
      </c>
      <c r="B44">
        <v>4</v>
      </c>
    </row>
    <row r="45" spans="1:5" x14ac:dyDescent="0.35">
      <c r="A45" t="s">
        <v>12</v>
      </c>
      <c r="B45">
        <v>2</v>
      </c>
    </row>
    <row r="46" spans="1:5" x14ac:dyDescent="0.35">
      <c r="A46" t="s">
        <v>1</v>
      </c>
      <c r="B46">
        <v>3</v>
      </c>
    </row>
    <row r="63" spans="1:1" x14ac:dyDescent="0.35">
      <c r="A63" s="7" t="s">
        <v>59</v>
      </c>
    </row>
    <row r="64" spans="1:1" x14ac:dyDescent="0.35">
      <c r="A64" t="s">
        <v>60</v>
      </c>
    </row>
    <row r="65" spans="1:1" x14ac:dyDescent="0.35">
      <c r="A65" s="7"/>
    </row>
    <row r="66" spans="1:1" x14ac:dyDescent="0.35">
      <c r="A66" t="s">
        <v>61</v>
      </c>
    </row>
    <row r="67" spans="1:1" x14ac:dyDescent="0.35">
      <c r="A67" t="s">
        <v>62</v>
      </c>
    </row>
    <row r="68" spans="1:1" x14ac:dyDescent="0.35">
      <c r="A68" t="s">
        <v>63</v>
      </c>
    </row>
    <row r="70" spans="1:1" x14ac:dyDescent="0.35">
      <c r="A70" s="7" t="s">
        <v>64</v>
      </c>
    </row>
    <row r="71" spans="1:1" x14ac:dyDescent="0.35">
      <c r="A71" t="s">
        <v>65</v>
      </c>
    </row>
    <row r="73" spans="1:1" x14ac:dyDescent="0.35">
      <c r="A73" t="s">
        <v>66</v>
      </c>
    </row>
    <row r="74" spans="1:1" x14ac:dyDescent="0.35">
      <c r="A74" t="s">
        <v>67</v>
      </c>
    </row>
  </sheetData>
  <sortState xmlns:xlrd2="http://schemas.microsoft.com/office/spreadsheetml/2017/richdata2" ref="A2:E14">
    <sortCondition ref="D2:D14"/>
  </sortState>
  <mergeCells count="1">
    <mergeCell ref="A19:E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Da Costa Dias</dc:creator>
  <cp:lastModifiedBy>Alexandra Da Costa Dias</cp:lastModifiedBy>
  <dcterms:created xsi:type="dcterms:W3CDTF">2015-06-05T18:17:20Z</dcterms:created>
  <dcterms:modified xsi:type="dcterms:W3CDTF">2026-02-13T11:25:27Z</dcterms:modified>
</cp:coreProperties>
</file>