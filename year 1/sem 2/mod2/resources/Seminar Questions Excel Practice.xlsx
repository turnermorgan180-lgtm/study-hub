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katie_tseng_york_ac_uk/Documents/TEACHING/Finance Foundamentals/YEAR 25 26/WEEK 2/"/>
    </mc:Choice>
  </mc:AlternateContent>
  <xr:revisionPtr revIDLastSave="182" documentId="8_{78566F98-0FD9-49AD-A163-5EE14208E7B4}" xr6:coauthVersionLast="47" xr6:coauthVersionMax="47" xr10:uidLastSave="{68474400-2CBC-CF4F-B738-7730AE4F6BFA}"/>
  <bookViews>
    <workbookView xWindow="-120" yWindow="-120" windowWidth="38640" windowHeight="21120" tabRatio="439" xr2:uid="{76DBC02F-2538-465C-8B44-21EEBA47F5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C6" i="1"/>
  <c r="C5" i="1"/>
  <c r="B21" i="1"/>
  <c r="B17" i="1"/>
  <c r="B13" i="1"/>
  <c r="B10" i="1"/>
  <c r="C24" i="1"/>
  <c r="D14" i="1"/>
  <c r="C13" i="1"/>
  <c r="C9" i="1"/>
  <c r="C18" i="1"/>
  <c r="C17" i="1"/>
  <c r="H33" i="1"/>
  <c r="H32" i="1"/>
  <c r="H31" i="1"/>
  <c r="H29" i="1"/>
  <c r="H28" i="1"/>
  <c r="H27" i="1"/>
  <c r="B24" i="1"/>
  <c r="B22" i="1"/>
  <c r="B18" i="1"/>
  <c r="B14" i="1"/>
</calcChain>
</file>

<file path=xl/sharedStrings.xml><?xml version="1.0" encoding="utf-8"?>
<sst xmlns="http://schemas.openxmlformats.org/spreadsheetml/2006/main" count="28" uniqueCount="20">
  <si>
    <t>MONTH</t>
  </si>
  <si>
    <t>PV1</t>
  </si>
  <si>
    <t>PV2</t>
  </si>
  <si>
    <t>R</t>
  </si>
  <si>
    <t>Q11</t>
  </si>
  <si>
    <t>Q6</t>
  </si>
  <si>
    <t>a.</t>
  </si>
  <si>
    <t xml:space="preserve">b. </t>
  </si>
  <si>
    <t>Q12</t>
  </si>
  <si>
    <t>Q13</t>
  </si>
  <si>
    <t>b.</t>
  </si>
  <si>
    <t>Q14</t>
  </si>
  <si>
    <t>Q15</t>
  </si>
  <si>
    <t>Q16</t>
  </si>
  <si>
    <t>Time</t>
  </si>
  <si>
    <t>Interest rate</t>
  </si>
  <si>
    <t>r1=2%</t>
  </si>
  <si>
    <t>r2=1.5%</t>
  </si>
  <si>
    <t>Total</t>
  </si>
  <si>
    <t>t = 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</si>
</sst>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£&quot;#,##0.00;[Red]\-&quot;£&quot;#,##0.00"/>
    <numFmt numFmtId="165" formatCode="_-&quot;£&quot;* #,##0.00_-;\-&quot;£&quot;* #,##0.00_-;_-&quot;£&quot;* &quot;-&quot;??_-;_-@_-"/>
    <numFmt numFmtId="166" formatCode="_-[$$-409]* #,##0.00_ ;_-[$$-409]* \-#,##0.00\ ;_-[$$-409]* &quot;-&quot;??_ ;_-@_ "/>
    <numFmt numFmtId="167" formatCode="_-[$£-809]* #,##0_-;\-[$£-809]* #,##0_-;_-[$£-809]* &quot;-&quot;??_-;_-@_-"/>
    <numFmt numFmtId="168" formatCode="_-&quot;£&quot;* #,##0_-;\-&quot;£&quot;* #,##0_-;_-&quot;£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0" applyFont="1"/>
    <xf numFmtId="166" fontId="0" fillId="0" borderId="0" xfId="0" applyNumberFormat="1"/>
    <xf numFmtId="10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67" fontId="0" fillId="2" borderId="0" xfId="1" applyNumberFormat="1" applyFont="1" applyFill="1"/>
    <xf numFmtId="167" fontId="0" fillId="3" borderId="0" xfId="0" applyNumberFormat="1" applyFill="1"/>
    <xf numFmtId="0" fontId="0" fillId="3" borderId="0" xfId="0" applyFill="1"/>
    <xf numFmtId="168" fontId="0" fillId="3" borderId="0" xfId="1" applyNumberFormat="1" applyFont="1" applyFill="1"/>
    <xf numFmtId="0" fontId="4" fillId="0" borderId="0" xfId="0" applyFont="1" applyAlignment="1">
      <alignment horizontal="center"/>
    </xf>
    <xf numFmtId="167" fontId="3" fillId="0" borderId="0" xfId="0" applyNumberFormat="1" applyFont="1"/>
    <xf numFmtId="2" fontId="0" fillId="0" borderId="0" xfId="0" applyNumberFormat="1"/>
    <xf numFmtId="2" fontId="0" fillId="0" borderId="0" xfId="1" applyNumberFormat="1" applyFont="1"/>
    <xf numFmtId="2" fontId="0" fillId="6" borderId="0" xfId="0" applyNumberFormat="1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7BEE6-F9B3-49AD-8EEF-30F9C13D0A80}">
  <dimension ref="A1:O33"/>
  <sheetViews>
    <sheetView tabSelected="1" zoomScale="150" zoomScaleNormal="150" zoomScaleSheetLayoutView="170" workbookViewId="0">
      <selection activeCell="E5" sqref="E5"/>
    </sheetView>
  </sheetViews>
  <sheetFormatPr defaultRowHeight="15" x14ac:dyDescent="0.2"/>
  <cols>
    <col min="2" max="2" width="11.8359375" customWidth="1"/>
    <col min="3" max="3" width="14.52734375" customWidth="1"/>
    <col min="4" max="5" width="9.953125" customWidth="1"/>
    <col min="6" max="6" width="10.76171875" bestFit="1" customWidth="1"/>
    <col min="7" max="7" width="9.953125" customWidth="1"/>
    <col min="8" max="8" width="8.7421875" customWidth="1"/>
  </cols>
  <sheetData>
    <row r="1" spans="1:15" x14ac:dyDescent="0.2">
      <c r="A1" s="3" t="s">
        <v>5</v>
      </c>
      <c r="B1" t="s">
        <v>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</row>
    <row r="2" spans="1:15" x14ac:dyDescent="0.2">
      <c r="D2">
        <v>50000</v>
      </c>
      <c r="E2">
        <v>50000</v>
      </c>
      <c r="F2">
        <v>50000</v>
      </c>
      <c r="G2">
        <v>50000</v>
      </c>
      <c r="H2">
        <v>50000</v>
      </c>
      <c r="I2">
        <v>50000</v>
      </c>
      <c r="J2">
        <v>50000</v>
      </c>
      <c r="K2">
        <v>50000</v>
      </c>
      <c r="L2">
        <v>50000</v>
      </c>
      <c r="M2">
        <v>50000</v>
      </c>
      <c r="N2">
        <v>50000</v>
      </c>
      <c r="O2">
        <v>50000</v>
      </c>
    </row>
    <row r="3" spans="1:15" x14ac:dyDescent="0.2">
      <c r="O3">
        <v>600000</v>
      </c>
    </row>
    <row r="4" spans="1:15" x14ac:dyDescent="0.2">
      <c r="B4" t="s">
        <v>3</v>
      </c>
      <c r="C4">
        <v>0.1</v>
      </c>
    </row>
    <row r="5" spans="1:15" x14ac:dyDescent="0.2">
      <c r="B5" t="s">
        <v>1</v>
      </c>
      <c r="C5" s="4">
        <f>PV(C4,12,-D2,,0)</f>
        <v>340684.59114482172</v>
      </c>
    </row>
    <row r="6" spans="1:15" x14ac:dyDescent="0.2">
      <c r="B6" t="s">
        <v>2</v>
      </c>
      <c r="C6" s="4">
        <f>PV(C4,12,,-O3,0)</f>
        <v>191178.49062621393</v>
      </c>
    </row>
    <row r="8" spans="1:15" x14ac:dyDescent="0.2">
      <c r="A8" s="3" t="s">
        <v>4</v>
      </c>
    </row>
    <row r="9" spans="1:15" x14ac:dyDescent="0.2">
      <c r="A9" t="s">
        <v>6</v>
      </c>
      <c r="B9" s="4">
        <f>PV(0.08,10,,-100,0)</f>
        <v>46.319348808468426</v>
      </c>
      <c r="C9" s="2">
        <f>PV(0.08,10,,-100)</f>
        <v>46.319348808468426</v>
      </c>
    </row>
    <row r="10" spans="1:15" x14ac:dyDescent="0.2">
      <c r="A10" t="s">
        <v>7</v>
      </c>
      <c r="B10" s="4">
        <f>PV(0.04,20,,-100,0)</f>
        <v>45.638694620129208</v>
      </c>
    </row>
    <row r="11" spans="1:15" x14ac:dyDescent="0.2">
      <c r="B11" s="2"/>
    </row>
    <row r="12" spans="1:15" x14ac:dyDescent="0.2">
      <c r="A12" s="3" t="s">
        <v>8</v>
      </c>
    </row>
    <row r="13" spans="1:15" x14ac:dyDescent="0.2">
      <c r="A13" t="s">
        <v>6</v>
      </c>
      <c r="B13" s="2">
        <f>FV(0.08,10,,-100,0)</f>
        <v>215.89249972727879</v>
      </c>
      <c r="C13" s="2">
        <f>FV(0.08,10,,-100)</f>
        <v>215.89249972727879</v>
      </c>
    </row>
    <row r="14" spans="1:15" x14ac:dyDescent="0.2">
      <c r="A14" t="s">
        <v>7</v>
      </c>
      <c r="B14" s="2">
        <f>FV(0.04,20,,-100,0)</f>
        <v>219.11231430334212</v>
      </c>
      <c r="D14" s="5">
        <f>RATE(11,,400,-684)</f>
        <v>4.9981058614791039E-2</v>
      </c>
    </row>
    <row r="16" spans="1:15" x14ac:dyDescent="0.2">
      <c r="A16" s="3" t="s">
        <v>9</v>
      </c>
    </row>
    <row r="17" spans="1:8" x14ac:dyDescent="0.2">
      <c r="A17" t="s">
        <v>6</v>
      </c>
      <c r="B17" s="5">
        <f>RATE(11,,-400,684,0)</f>
        <v>4.9981058614792212E-2</v>
      </c>
      <c r="C17" s="5">
        <f>RATE(11,,400,-684,0)</f>
        <v>4.9981058614791039E-2</v>
      </c>
    </row>
    <row r="18" spans="1:8" x14ac:dyDescent="0.2">
      <c r="A18" t="s">
        <v>10</v>
      </c>
      <c r="B18" s="5">
        <f>RATE(7,,-300,300,0)</f>
        <v>2.1671624692035788E-13</v>
      </c>
      <c r="C18" s="5">
        <f>RATE(7,,300,-300)</f>
        <v>1.7315254317980233E-13</v>
      </c>
    </row>
    <row r="20" spans="1:8" x14ac:dyDescent="0.2">
      <c r="A20" s="3" t="s">
        <v>11</v>
      </c>
    </row>
    <row r="21" spans="1:8" x14ac:dyDescent="0.2">
      <c r="A21" t="s">
        <v>6</v>
      </c>
      <c r="B21">
        <f>NPER(0.04,,-400,1000,0)</f>
        <v>23.36241894157132</v>
      </c>
    </row>
    <row r="22" spans="1:8" x14ac:dyDescent="0.2">
      <c r="A22" t="s">
        <v>10</v>
      </c>
      <c r="B22">
        <f>NPER(0.16,,-400,1000,0)</f>
        <v>6.1736336091888662</v>
      </c>
    </row>
    <row r="24" spans="1:8" x14ac:dyDescent="0.2">
      <c r="A24" s="3" t="s">
        <v>12</v>
      </c>
      <c r="B24">
        <f>NPER(0.06,,-100,200,0)</f>
        <v>11.895661045941875</v>
      </c>
      <c r="C24">
        <f>NPER(0.06,,100,-200)</f>
        <v>11.895661045941875</v>
      </c>
    </row>
    <row r="26" spans="1:8" x14ac:dyDescent="0.2">
      <c r="A26" s="3" t="s">
        <v>13</v>
      </c>
      <c r="B26" s="6" t="s">
        <v>14</v>
      </c>
      <c r="C26" s="7" t="s">
        <v>19</v>
      </c>
      <c r="D26" s="7">
        <v>-4</v>
      </c>
      <c r="E26" s="7">
        <v>-3</v>
      </c>
      <c r="F26" s="7">
        <v>-2</v>
      </c>
      <c r="G26" s="7">
        <v>-1</v>
      </c>
      <c r="H26" s="1">
        <v>0</v>
      </c>
    </row>
    <row r="27" spans="1:8" x14ac:dyDescent="0.2">
      <c r="C27" s="9">
        <v>1000</v>
      </c>
      <c r="D27" s="10"/>
      <c r="E27" s="10"/>
      <c r="F27" s="10"/>
      <c r="G27" s="10"/>
      <c r="H27" s="14">
        <f>1000*(1+0.02)^3*(1+0.015)^2</f>
        <v>1093.2830117999995</v>
      </c>
    </row>
    <row r="28" spans="1:8" x14ac:dyDescent="0.2">
      <c r="D28" s="11">
        <v>500</v>
      </c>
      <c r="E28" s="10"/>
      <c r="F28" s="10"/>
      <c r="G28" s="10"/>
      <c r="H28" s="14">
        <f>500*(1+0.02)^2*(1+0.015)^2</f>
        <v>535.92304499999989</v>
      </c>
    </row>
    <row r="29" spans="1:8" x14ac:dyDescent="0.2">
      <c r="F29" s="8">
        <v>1600</v>
      </c>
      <c r="G29" s="10"/>
      <c r="H29" s="14">
        <f>1600*(1+0.015)^1.5</f>
        <v>1636.1346643843224</v>
      </c>
    </row>
    <row r="30" spans="1:8" x14ac:dyDescent="0.2">
      <c r="B30" t="s">
        <v>15</v>
      </c>
      <c r="C30" s="17" t="s">
        <v>16</v>
      </c>
      <c r="D30" s="17"/>
      <c r="E30" s="17"/>
      <c r="F30" s="18" t="s">
        <v>17</v>
      </c>
      <c r="G30" s="18"/>
      <c r="H30" s="14"/>
    </row>
    <row r="31" spans="1:8" x14ac:dyDescent="0.2">
      <c r="A31" t="s">
        <v>6</v>
      </c>
      <c r="G31" s="12" t="s">
        <v>18</v>
      </c>
      <c r="H31" s="16">
        <f>SUM(H27:H29)</f>
        <v>3265.3407211843214</v>
      </c>
    </row>
    <row r="32" spans="1:8" x14ac:dyDescent="0.2">
      <c r="G32" s="13">
        <v>-600</v>
      </c>
      <c r="H32" s="15">
        <f>G32*(1+0.015)</f>
        <v>-608.99999999999989</v>
      </c>
    </row>
    <row r="33" spans="1:8" x14ac:dyDescent="0.2">
      <c r="A33" t="s">
        <v>10</v>
      </c>
      <c r="G33" s="12" t="s">
        <v>18</v>
      </c>
      <c r="H33" s="16">
        <f>SUM(H31:H32)</f>
        <v>2656.3407211843214</v>
      </c>
    </row>
  </sheetData>
  <mergeCells count="2">
    <mergeCell ref="C30:E30"/>
    <mergeCell ref="F30:G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 Tseng</dc:creator>
  <cp:lastModifiedBy>Katie Tseng</cp:lastModifiedBy>
  <dcterms:created xsi:type="dcterms:W3CDTF">2024-02-14T12:51:11Z</dcterms:created>
  <dcterms:modified xsi:type="dcterms:W3CDTF">2026-02-14T20:24:24Z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{"port":50152,"version":"1.24.159"}</vt:lpwstr>
  </property>
</Properties>
</file>