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katie_tseng_york_ac_uk/Documents/TEACHING/Finance Foundamentals/YEAR 25 26/WEEK 9/"/>
    </mc:Choice>
  </mc:AlternateContent>
  <xr:revisionPtr revIDLastSave="221" documentId="11_5BE657330FE4903846B5B0FC26C8250282C13FC3" xr6:coauthVersionLast="47" xr6:coauthVersionMax="47" xr10:uidLastSave="{8CFAA591-B63F-473E-A63E-27D04CEA4885}"/>
  <bookViews>
    <workbookView minimized="1" xWindow="1860" yWindow="1860" windowWidth="28800" windowHeight="15285" activeTab="1" xr2:uid="{00000000-000D-0000-FFFF-FFFF00000000}"/>
  </bookViews>
  <sheets>
    <sheet name="Q3" sheetId="3" r:id="rId1"/>
    <sheet name="Q8" sheetId="4" r:id="rId2"/>
    <sheet name="Q9" sheetId="5" r:id="rId3"/>
    <sheet name="Q15" sheetId="2" r:id="rId4"/>
  </sheets>
  <definedNames>
    <definedName name="CLS">'Q15'!#REF!</definedName>
    <definedName name="DAT">'Q15'!$A$3:$A$255</definedName>
    <definedName name="filterValues">'Q15'!#REF!</definedName>
    <definedName name="FLOW">'Q15'!#REF!</definedName>
    <definedName name="HIG">'Q15'!#REF!</definedName>
    <definedName name="LOW">'Q15'!$F$3:$F$255</definedName>
    <definedName name="NET">'Q15'!$C$3:$C$255</definedName>
    <definedName name="OPN">'Q15'!$E$3:$E$255</definedName>
    <definedName name="PCC">'Q15'!$B$3:$B$255</definedName>
    <definedName name="phTableData">'Q15'!$A$3:$F$255</definedName>
    <definedName name="phTableHeader">'Q15'!$A$2:$F$2</definedName>
    <definedName name="phTableName">'Q15'!$A$1:$A$1</definedName>
    <definedName name="sheetHeader">'Q15'!#REF!</definedName>
    <definedName name="statPriceChangeTableData">'Q15'!#REF!</definedName>
    <definedName name="statPriceChangeTableHeader">'Q15'!#REF!</definedName>
    <definedName name="statPriceTableData">'Q15'!#REF!</definedName>
    <definedName name="statPriceTableHeader">'Q15'!#REF!</definedName>
    <definedName name="statTableName">'Q15'!#REF!</definedName>
    <definedName name="statTurnoverTableData">'Q15'!#REF!</definedName>
    <definedName name="statTurnoverTableHeader">'Q15'!#REF!</definedName>
    <definedName name="statUpDownTableData">'Q15'!#REF!</definedName>
    <definedName name="statUpDownTableHeader">'Q15'!#REF!</definedName>
    <definedName name="statVolumeTableData">'Q15'!#REF!</definedName>
    <definedName name="statVolumeTableHeader">'Q15'!#REF!</definedName>
    <definedName name="TOV">'Q15'!#REF!</definedName>
    <definedName name="VOL">'Q15'!#REF!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4" l="1"/>
  <c r="J3" i="4"/>
  <c r="B257" i="2"/>
  <c r="B259" i="2" s="1"/>
  <c r="B258" i="2"/>
  <c r="B260" i="2"/>
  <c r="M3" i="4"/>
  <c r="D7" i="5"/>
  <c r="G8" i="5"/>
  <c r="E2" i="5"/>
  <c r="F2" i="5"/>
  <c r="E4" i="5"/>
  <c r="E5" i="5"/>
  <c r="E6" i="5"/>
  <c r="D2" i="5"/>
  <c r="E3" i="5"/>
  <c r="F3" i="5"/>
  <c r="F4" i="5"/>
  <c r="F5" i="5"/>
  <c r="F6" i="5"/>
  <c r="F7" i="5"/>
  <c r="F8" i="5"/>
  <c r="D3" i="5"/>
  <c r="D4" i="5"/>
  <c r="D5" i="5"/>
  <c r="D6" i="5"/>
  <c r="D9" i="3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B8" i="3"/>
  <c r="D3" i="3"/>
  <c r="D4" i="3"/>
  <c r="D5" i="3"/>
  <c r="D6" i="3"/>
  <c r="D2" i="3"/>
  <c r="F258" i="2"/>
  <c r="F260" i="2"/>
  <c r="E258" i="2"/>
  <c r="E260" i="2" s="1"/>
  <c r="D258" i="2"/>
  <c r="D260" i="2"/>
  <c r="C258" i="2"/>
  <c r="C260" i="2"/>
  <c r="F257" i="2"/>
  <c r="F259" i="2"/>
  <c r="E257" i="2"/>
  <c r="E259" i="2"/>
  <c r="D257" i="2"/>
  <c r="D259" i="2"/>
  <c r="C257" i="2"/>
  <c r="C259" i="2" s="1"/>
  <c r="D7" i="3"/>
</calcChain>
</file>

<file path=xl/sharedStrings.xml><?xml version="1.0" encoding="utf-8"?>
<sst xmlns="http://schemas.openxmlformats.org/spreadsheetml/2006/main" count="286" uniqueCount="283">
  <si>
    <t>TSCO.L History     Daily     1 Year</t>
  </si>
  <si>
    <t>Exchange Date</t>
  </si>
  <si>
    <t>Tesco</t>
  </si>
  <si>
    <t>Glaxosmith</t>
  </si>
  <si>
    <t>BP</t>
  </si>
  <si>
    <t>HSBC</t>
  </si>
  <si>
    <t>FTSE100</t>
  </si>
  <si>
    <t>Average Return</t>
  </si>
  <si>
    <t xml:space="preserve">Standard deviation </t>
  </si>
  <si>
    <t>Annual Average return</t>
  </si>
  <si>
    <t>Annual standard deviation</t>
  </si>
  <si>
    <t>Year</t>
  </si>
  <si>
    <t>Stock Market Return (%)</t>
  </si>
  <si>
    <t>T-Bill Return (%)</t>
  </si>
  <si>
    <t>a. Risk Premium</t>
  </si>
  <si>
    <t>b. Average</t>
  </si>
  <si>
    <t>c. geometric return</t>
  </si>
  <si>
    <t>Date</t>
  </si>
  <si>
    <t>Open</t>
  </si>
  <si>
    <t>High</t>
  </si>
  <si>
    <t>Low</t>
  </si>
  <si>
    <t>Close</t>
  </si>
  <si>
    <t>% Change</t>
  </si>
  <si>
    <t>% Change vs Average</t>
  </si>
  <si>
    <t>Volume</t>
  </si>
  <si>
    <t>2023-05-02T23:00:00.000Z</t>
  </si>
  <si>
    <t>2023-05-03T23:00:00.000Z</t>
  </si>
  <si>
    <t>2023-05-04T23:00:00.000Z</t>
  </si>
  <si>
    <t>2023-05-08T23:00:00.000Z</t>
  </si>
  <si>
    <t>2023-05-09T23:00:00.000Z</t>
  </si>
  <si>
    <t>2023-05-10T23:00:00.000Z</t>
  </si>
  <si>
    <t>2023-05-11T23:00:00.000Z</t>
  </si>
  <si>
    <t>2023-05-14T23:00:00.000Z</t>
  </si>
  <si>
    <t>2023-05-15T23:00:00.000Z</t>
  </si>
  <si>
    <t>2023-05-16T23:00:00.000Z</t>
  </si>
  <si>
    <t>2023-05-17T23:00:00.000Z</t>
  </si>
  <si>
    <t>2023-05-18T23:00:00.000Z</t>
  </si>
  <si>
    <t>2023-05-21T23:00:00.000Z</t>
  </si>
  <si>
    <t>2023-05-22T23:00:00.000Z</t>
  </si>
  <si>
    <t>2023-05-23T23:00:00.000Z</t>
  </si>
  <si>
    <t>2023-05-24T23:00:00.000Z</t>
  </si>
  <si>
    <t>2023-05-25T23:00:00.000Z</t>
  </si>
  <si>
    <t>2023-05-29T23:00:00.000Z</t>
  </si>
  <si>
    <t>2023-05-30T23:00:00.000Z</t>
  </si>
  <si>
    <t>2023-05-31T23:00:00.000Z</t>
  </si>
  <si>
    <t>2023-06-01T23:00:00.000Z</t>
  </si>
  <si>
    <t>2023-06-04T23:00:00.000Z</t>
  </si>
  <si>
    <t>2023-06-05T23:00:00.000Z</t>
  </si>
  <si>
    <t>2023-06-06T23:00:00.000Z</t>
  </si>
  <si>
    <t>2023-06-07T23:00:00.000Z</t>
  </si>
  <si>
    <t>2023-06-08T23:00:00.000Z</t>
  </si>
  <si>
    <t>2023-06-11T23:00:00.000Z</t>
  </si>
  <si>
    <t>2023-06-12T23:00:00.000Z</t>
  </si>
  <si>
    <t>2023-06-13T23:00:00.000Z</t>
  </si>
  <si>
    <t>2023-06-14T23:00:00.000Z</t>
  </si>
  <si>
    <t>2023-06-15T23:00:00.000Z</t>
  </si>
  <si>
    <t>2023-06-18T23:00:00.000Z</t>
  </si>
  <si>
    <t>2023-06-19T23:00:00.000Z</t>
  </si>
  <si>
    <t>2023-06-20T23:00:00.000Z</t>
  </si>
  <si>
    <t>2023-06-21T23:00:00.000Z</t>
  </si>
  <si>
    <t>2023-06-22T23:00:00.000Z</t>
  </si>
  <si>
    <t>2023-06-25T23:00:00.000Z</t>
  </si>
  <si>
    <t>2023-06-26T23:00:00.000Z</t>
  </si>
  <si>
    <t>2023-06-27T23:00:00.000Z</t>
  </si>
  <si>
    <t>2023-06-28T23:00:00.000Z</t>
  </si>
  <si>
    <t>2023-06-29T23:00:00.000Z</t>
  </si>
  <si>
    <t>2023-07-02T23:00:00.000Z</t>
  </si>
  <si>
    <t>2023-07-03T23:00:00.000Z</t>
  </si>
  <si>
    <t>2023-07-04T23:00:00.000Z</t>
  </si>
  <si>
    <t>2023-07-05T23:00:00.000Z</t>
  </si>
  <si>
    <t>2023-07-06T23:00:00.000Z</t>
  </si>
  <si>
    <t>2023-07-09T23:00:00.000Z</t>
  </si>
  <si>
    <t>2023-07-10T23:00:00.000Z</t>
  </si>
  <si>
    <t>2023-07-11T23:00:00.000Z</t>
  </si>
  <si>
    <t>2023-07-12T23:00:00.000Z</t>
  </si>
  <si>
    <t>2023-07-13T23:00:00.000Z</t>
  </si>
  <si>
    <t>2023-07-16T23:00:00.000Z</t>
  </si>
  <si>
    <t>2023-07-17T23:00:00.000Z</t>
  </si>
  <si>
    <t>2023-07-18T23:00:00.000Z</t>
  </si>
  <si>
    <t>2023-07-19T23:00:00.000Z</t>
  </si>
  <si>
    <t>2023-07-20T23:00:00.000Z</t>
  </si>
  <si>
    <t>2023-07-23T23:00:00.000Z</t>
  </si>
  <si>
    <t>2023-07-24T23:00:00.000Z</t>
  </si>
  <si>
    <t>2023-07-25T23:00:00.000Z</t>
  </si>
  <si>
    <t>2023-07-26T23:00:00.000Z</t>
  </si>
  <si>
    <t>2023-07-27T23:00:00.000Z</t>
  </si>
  <si>
    <t>2023-07-30T23:00:00.000Z</t>
  </si>
  <si>
    <t>2023-07-31T23:00:00.000Z</t>
  </si>
  <si>
    <t>2023-08-01T23:00:00.000Z</t>
  </si>
  <si>
    <t>2023-08-02T23:00:00.000Z</t>
  </si>
  <si>
    <t>2023-08-03T23:00:00.000Z</t>
  </si>
  <si>
    <t>2023-08-06T23:00:00.000Z</t>
  </si>
  <si>
    <t>2023-08-07T23:00:00.000Z</t>
  </si>
  <si>
    <t>2023-08-08T23:00:00.000Z</t>
  </si>
  <si>
    <t>2023-08-09T23:00:00.000Z</t>
  </si>
  <si>
    <t>2023-08-10T23:00:00.000Z</t>
  </si>
  <si>
    <t>2023-08-13T23:00:00.000Z</t>
  </si>
  <si>
    <t>2023-08-14T23:00:00.000Z</t>
  </si>
  <si>
    <t>2023-08-15T23:00:00.000Z</t>
  </si>
  <si>
    <t>2023-08-16T23:00:00.000Z</t>
  </si>
  <si>
    <t>2023-08-17T23:00:00.000Z</t>
  </si>
  <si>
    <t>2023-08-20T23:00:00.000Z</t>
  </si>
  <si>
    <t>2023-08-21T23:00:00.000Z</t>
  </si>
  <si>
    <t>2023-08-22T23:00:00.000Z</t>
  </si>
  <si>
    <t>2023-08-23T23:00:00.000Z</t>
  </si>
  <si>
    <t>2023-08-24T23:00:00.000Z</t>
  </si>
  <si>
    <t>2023-08-28T23:00:00.000Z</t>
  </si>
  <si>
    <t>2023-08-29T23:00:00.000Z</t>
  </si>
  <si>
    <t>2023-08-30T23:00:00.000Z</t>
  </si>
  <si>
    <t>2023-08-31T23:00:00.000Z</t>
  </si>
  <si>
    <t>2023-09-03T23:00:00.000Z</t>
  </si>
  <si>
    <t>2023-09-04T23:00:00.000Z</t>
  </si>
  <si>
    <t>2023-09-05T23:00:00.000Z</t>
  </si>
  <si>
    <t>2023-09-06T23:00:00.000Z</t>
  </si>
  <si>
    <t>2023-09-07T23:00:00.000Z</t>
  </si>
  <si>
    <t>2023-09-10T23:00:00.000Z</t>
  </si>
  <si>
    <t>2023-09-11T23:00:00.000Z</t>
  </si>
  <si>
    <t>2023-09-12T23:00:00.000Z</t>
  </si>
  <si>
    <t>2023-09-13T23:00:00.000Z</t>
  </si>
  <si>
    <t>2023-09-14T23:00:00.000Z</t>
  </si>
  <si>
    <t>2023-09-17T23:00:00.000Z</t>
  </si>
  <si>
    <t>2023-09-18T23:00:00.000Z</t>
  </si>
  <si>
    <t>2023-09-19T23:00:00.000Z</t>
  </si>
  <si>
    <t>2023-09-20T23:00:00.000Z</t>
  </si>
  <si>
    <t>2023-09-21T23:00:00.000Z</t>
  </si>
  <si>
    <t>2023-09-24T23:00:00.000Z</t>
  </si>
  <si>
    <t>2023-09-25T23:00:00.000Z</t>
  </si>
  <si>
    <t>2023-09-26T23:00:00.000Z</t>
  </si>
  <si>
    <t>2023-09-27T23:00:00.000Z</t>
  </si>
  <si>
    <t>2023-09-28T23:00:00.000Z</t>
  </si>
  <si>
    <t>2023-10-01T23:00:00.000Z</t>
  </si>
  <si>
    <t>2023-10-02T23:00:00.000Z</t>
  </si>
  <si>
    <t>2023-10-03T23:00:00.000Z</t>
  </si>
  <si>
    <t>2023-10-04T23:00:00.000Z</t>
  </si>
  <si>
    <t>2023-10-05T23:00:00.000Z</t>
  </si>
  <si>
    <t>2023-10-08T23:00:00.000Z</t>
  </si>
  <si>
    <t>2023-10-09T23:00:00.000Z</t>
  </si>
  <si>
    <t>2023-10-10T23:00:00.000Z</t>
  </si>
  <si>
    <t>2023-10-11T23:00:00.000Z</t>
  </si>
  <si>
    <t>2023-10-12T23:00:00.000Z</t>
  </si>
  <si>
    <t>2023-10-15T23:00:00.000Z</t>
  </si>
  <si>
    <t>2023-10-16T23:00:00.000Z</t>
  </si>
  <si>
    <t>2023-10-17T23:00:00.000Z</t>
  </si>
  <si>
    <t>2023-10-18T23:00:00.000Z</t>
  </si>
  <si>
    <t>2023-10-19T23:00:00.000Z</t>
  </si>
  <si>
    <t>2023-10-22T23:00:00.000Z</t>
  </si>
  <si>
    <t>2023-10-23T23:00:00.000Z</t>
  </si>
  <si>
    <t>2023-10-24T23:00:00.000Z</t>
  </si>
  <si>
    <t>2023-10-25T23:00:00.000Z</t>
  </si>
  <si>
    <t>2023-10-26T23:00:00.000Z</t>
  </si>
  <si>
    <t>2023-10-30T00:00:00.000Z</t>
  </si>
  <si>
    <t>2023-10-31T00:00:00.000Z</t>
  </si>
  <si>
    <t>2023-11-01T00:00:00.000Z</t>
  </si>
  <si>
    <t>2023-11-02T00:00:00.000Z</t>
  </si>
  <si>
    <t>2023-11-03T00:00:00.000Z</t>
  </si>
  <si>
    <t>2023-11-06T00:00:00.000Z</t>
  </si>
  <si>
    <t>2023-11-07T00:00:00.000Z</t>
  </si>
  <si>
    <t>2023-11-08T00:00:00.000Z</t>
  </si>
  <si>
    <t>2023-11-09T00:00:00.000Z</t>
  </si>
  <si>
    <t>2023-11-10T00:00:00.000Z</t>
  </si>
  <si>
    <t>2023-11-13T00:00:00.000Z</t>
  </si>
  <si>
    <t>2023-11-14T00:00:00.000Z</t>
  </si>
  <si>
    <t>2023-11-15T00:00:00.000Z</t>
  </si>
  <si>
    <t>2023-11-16T00:00:00.000Z</t>
  </si>
  <si>
    <t>2023-11-17T00:00:00.000Z</t>
  </si>
  <si>
    <t>2023-11-20T00:00:00.000Z</t>
  </si>
  <si>
    <t>2023-11-21T00:00:00.000Z</t>
  </si>
  <si>
    <t>2023-11-22T00:00:00.000Z</t>
  </si>
  <si>
    <t>2023-11-23T00:00:00.000Z</t>
  </si>
  <si>
    <t>2023-11-24T00:00:00.000Z</t>
  </si>
  <si>
    <t>2023-11-27T00:00:00.000Z</t>
  </si>
  <si>
    <t>2023-11-28T00:00:00.000Z</t>
  </si>
  <si>
    <t>2023-11-29T00:00:00.000Z</t>
  </si>
  <si>
    <t>2023-11-30T00:00:00.000Z</t>
  </si>
  <si>
    <t>2023-12-01T00:00:00.000Z</t>
  </si>
  <si>
    <t>2023-12-04T00:00:00.000Z</t>
  </si>
  <si>
    <t>2023-12-05T00:00:00.000Z</t>
  </si>
  <si>
    <t>2023-12-06T00:00:00.000Z</t>
  </si>
  <si>
    <t>2023-12-07T00:00:00.000Z</t>
  </si>
  <si>
    <t>2023-12-08T00:00:00.000Z</t>
  </si>
  <si>
    <t>2023-12-11T00:00:00.000Z</t>
  </si>
  <si>
    <t>2023-12-12T00:00:00.000Z</t>
  </si>
  <si>
    <t>2023-12-13T00:00:00.000Z</t>
  </si>
  <si>
    <t>2023-12-14T00:00:00.000Z</t>
  </si>
  <si>
    <t>2023-12-15T00:00:00.000Z</t>
  </si>
  <si>
    <t>2023-12-18T00:00:00.000Z</t>
  </si>
  <si>
    <t>2023-12-19T00:00:00.000Z</t>
  </si>
  <si>
    <t>2023-12-20T00:00:00.000Z</t>
  </si>
  <si>
    <t>2023-12-21T00:00:00.000Z</t>
  </si>
  <si>
    <t>2023-12-22T00:00:00.000Z</t>
  </si>
  <si>
    <t>2023-12-27T00:00:00.000Z</t>
  </si>
  <si>
    <t>2023-12-28T00:00:00.000Z</t>
  </si>
  <si>
    <t>2023-12-29T00:00:00.000Z</t>
  </si>
  <si>
    <t>2024-01-02T00:00:00.000Z</t>
  </si>
  <si>
    <t>2024-01-03T00:00:00.000Z</t>
  </si>
  <si>
    <t>2024-01-04T00:00:00.000Z</t>
  </si>
  <si>
    <t>2024-01-05T00:00:00.000Z</t>
  </si>
  <si>
    <t>2024-01-08T00:00:00.000Z</t>
  </si>
  <si>
    <t>2024-01-09T00:00:00.000Z</t>
  </si>
  <si>
    <t>2024-01-10T00:00:00.000Z</t>
  </si>
  <si>
    <t>2024-01-11T00:00:00.000Z</t>
  </si>
  <si>
    <t>2024-01-12T00:00:00.000Z</t>
  </si>
  <si>
    <t>2024-01-15T00:00:00.000Z</t>
  </si>
  <si>
    <t>2024-01-16T00:00:00.000Z</t>
  </si>
  <si>
    <t>2024-01-17T00:00:00.000Z</t>
  </si>
  <si>
    <t>2024-01-18T00:00:00.000Z</t>
  </si>
  <si>
    <t>2024-01-19T00:00:00.000Z</t>
  </si>
  <si>
    <t>2024-01-22T00:00:00.000Z</t>
  </si>
  <si>
    <t>2024-01-23T00:00:00.000Z</t>
  </si>
  <si>
    <t>2024-01-24T00:00:00.000Z</t>
  </si>
  <si>
    <t>2024-01-25T00:00:00.000Z</t>
  </si>
  <si>
    <t>2024-01-26T00:00:00.000Z</t>
  </si>
  <si>
    <t>2024-01-29T00:00:00.000Z</t>
  </si>
  <si>
    <t>2024-01-30T00:00:00.000Z</t>
  </si>
  <si>
    <t>2024-01-31T00:00:00.000Z</t>
  </si>
  <si>
    <t>2024-02-01T00:00:00.000Z</t>
  </si>
  <si>
    <t>2024-02-02T00:00:00.000Z</t>
  </si>
  <si>
    <t>2024-02-05T00:00:00.000Z</t>
  </si>
  <si>
    <t>2024-02-06T00:00:00.000Z</t>
  </si>
  <si>
    <t>2024-02-07T00:00:00.000Z</t>
  </si>
  <si>
    <t>2024-02-08T00:00:00.000Z</t>
  </si>
  <si>
    <t>2024-02-09T00:00:00.000Z</t>
  </si>
  <si>
    <t>2024-02-12T00:00:00.000Z</t>
  </si>
  <si>
    <t>2024-02-13T00:00:00.000Z</t>
  </si>
  <si>
    <t>2024-02-14T00:00:00.000Z</t>
  </si>
  <si>
    <t>2024-02-15T00:00:00.000Z</t>
  </si>
  <si>
    <t>2024-02-16T00:00:00.000Z</t>
  </si>
  <si>
    <t>2024-02-19T00:00:00.000Z</t>
  </si>
  <si>
    <t>2024-02-20T00:00:00.000Z</t>
  </si>
  <si>
    <t>2024-02-21T00:00:00.000Z</t>
  </si>
  <si>
    <t>2024-02-22T00:00:00.000Z</t>
  </si>
  <si>
    <t>2024-02-23T00:00:00.000Z</t>
  </si>
  <si>
    <t>2024-02-26T00:00:00.000Z</t>
  </si>
  <si>
    <t>2024-02-27T00:00:00.000Z</t>
  </si>
  <si>
    <t>2024-02-28T00:00:00.000Z</t>
  </si>
  <si>
    <t>2024-02-29T00:00:00.000Z</t>
  </si>
  <si>
    <t>2024-03-01T00:00:00.000Z</t>
  </si>
  <si>
    <t>2024-03-04T00:00:00.000Z</t>
  </si>
  <si>
    <t>2024-03-05T00:00:00.000Z</t>
  </si>
  <si>
    <t>2024-03-06T00:00:00.000Z</t>
  </si>
  <si>
    <t>2024-03-07T00:00:00.000Z</t>
  </si>
  <si>
    <t>2024-03-08T00:00:00.000Z</t>
  </si>
  <si>
    <t>2024-03-11T00:00:00.000Z</t>
  </si>
  <si>
    <t>2024-03-12T00:00:00.000Z</t>
  </si>
  <si>
    <t>2024-03-13T00:00:00.000Z</t>
  </si>
  <si>
    <t>2024-03-14T00:00:00.000Z</t>
  </si>
  <si>
    <t>2024-03-15T00:00:00.000Z</t>
  </si>
  <si>
    <t>2024-03-18T00:00:00.000Z</t>
  </si>
  <si>
    <t>2024-03-19T00:00:00.000Z</t>
  </si>
  <si>
    <t>2024-03-20T00:00:00.000Z</t>
  </si>
  <si>
    <t>2024-03-21T00:00:00.000Z</t>
  </si>
  <si>
    <t>2024-03-22T00:00:00.000Z</t>
  </si>
  <si>
    <t>2024-03-25T00:00:00.000Z</t>
  </si>
  <si>
    <t>2024-03-26T00:00:00.000Z</t>
  </si>
  <si>
    <t>2024-03-27T00:00:00.000Z</t>
  </si>
  <si>
    <t>2024-03-28T00:00:00.000Z</t>
  </si>
  <si>
    <t>2024-04-01T23:00:00.000Z</t>
  </si>
  <si>
    <t>2024-04-02T23:00:00.000Z</t>
  </si>
  <si>
    <t>2024-04-03T23:00:00.000Z</t>
  </si>
  <si>
    <t>2024-04-04T23:00:00.000Z</t>
  </si>
  <si>
    <t>2024-04-07T23:00:00.000Z</t>
  </si>
  <si>
    <t>2024-04-08T23:00:00.000Z</t>
  </si>
  <si>
    <t>2024-04-09T23:00:00.000Z</t>
  </si>
  <si>
    <t>2024-04-10T23:00:00.000Z</t>
  </si>
  <si>
    <t>2024-04-11T23:00:00.000Z</t>
  </si>
  <si>
    <t>2024-04-14T23:00:00.000Z</t>
  </si>
  <si>
    <t>2024-04-15T23:00:00.000Z</t>
  </si>
  <si>
    <t>2024-04-16T23:00:00.000Z</t>
  </si>
  <si>
    <t>2024-04-17T23:00:00.000Z</t>
  </si>
  <si>
    <t>2024-04-18T23:00:00.000Z</t>
  </si>
  <si>
    <t>2024-04-21T23:00:00.000Z</t>
  </si>
  <si>
    <t>2024-04-22T23:00:00.000Z</t>
  </si>
  <si>
    <t>2024-04-23T23:00:00.000Z</t>
  </si>
  <si>
    <t>2024-04-24T23:00:00.000Z</t>
  </si>
  <si>
    <t>NaN</t>
  </si>
  <si>
    <t>HPR</t>
  </si>
  <si>
    <t>Average of daily returns</t>
  </si>
  <si>
    <t>daily returns (% Change)</t>
  </si>
  <si>
    <t>SD</t>
  </si>
  <si>
    <t>Risk Premium (%)</t>
  </si>
  <si>
    <t>Average</t>
  </si>
  <si>
    <t>Deviation from mean</t>
  </si>
  <si>
    <t>Squared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</si>
</sst>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+#,##0.00%;\-#,##0.00%;#,##0.00%;&quot;--&quot;"/>
    <numFmt numFmtId="166" formatCode="\+#,##0.0%;\-#,##0.0%;#,##0.0%;&quot;--&quot;"/>
    <numFmt numFmtId="167" formatCode="0.0%"/>
  </numFmts>
  <fonts count="8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2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 applyNumberFormat="0" applyBorder="0" applyAlignment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/>
    <xf numFmtId="166" fontId="1" fillId="0" borderId="2" xfId="0" applyNumberFormat="1" applyFont="1" applyBorder="1"/>
    <xf numFmtId="10" fontId="1" fillId="0" borderId="0" xfId="0" applyNumberFormat="1" applyFont="1"/>
    <xf numFmtId="167" fontId="1" fillId="0" borderId="0" xfId="0" applyNumberFormat="1" applyFont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4" fillId="0" borderId="6" xfId="1" applyNumberFormat="1" applyFont="1" applyBorder="1" applyAlignment="1">
      <alignment horizontal="center" vertical="center" wrapText="1"/>
    </xf>
    <xf numFmtId="10" fontId="4" fillId="0" borderId="0" xfId="1" applyNumberFormat="1" applyFont="1" applyAlignment="1">
      <alignment horizontal="center"/>
    </xf>
    <xf numFmtId="3" fontId="0" fillId="0" borderId="0" xfId="0" applyNumberFormat="1"/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5" fillId="0" borderId="0" xfId="1" applyNumberFormat="1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2B43-4AB3-4EE8-9D0C-C0A0FC16180E}">
  <dimension ref="A1:D9"/>
  <sheetViews>
    <sheetView workbookViewId="0">
      <selection activeCell="B14" sqref="B14"/>
    </sheetView>
  </sheetViews>
  <sheetFormatPr defaultRowHeight="26.25" x14ac:dyDescent="0.4"/>
  <cols>
    <col min="1" max="1" width="32.7109375" style="12" customWidth="1"/>
    <col min="2" max="3" width="32.7109375" style="13" customWidth="1"/>
    <col min="4" max="4" width="26.28515625" customWidth="1"/>
    <col min="5" max="5" width="9.5703125" customWidth="1"/>
  </cols>
  <sheetData>
    <row r="1" spans="1:4" ht="53.25" thickBot="1" x14ac:dyDescent="0.3">
      <c r="A1" s="9" t="s">
        <v>11</v>
      </c>
      <c r="B1" s="10" t="s">
        <v>12</v>
      </c>
      <c r="C1" s="10" t="s">
        <v>13</v>
      </c>
      <c r="D1" s="30" t="s">
        <v>14</v>
      </c>
    </row>
    <row r="2" spans="1:4" ht="27" thickBot="1" x14ac:dyDescent="0.3">
      <c r="A2" s="11">
        <v>1997</v>
      </c>
      <c r="B2" s="15">
        <v>0.31290000000000001</v>
      </c>
      <c r="C2" s="15">
        <v>5.2600000000000001E-2</v>
      </c>
      <c r="D2" s="15">
        <f>B2-C2</f>
        <v>0.26030000000000003</v>
      </c>
    </row>
    <row r="3" spans="1:4" ht="27" thickBot="1" x14ac:dyDescent="0.3">
      <c r="A3" s="11">
        <v>1998</v>
      </c>
      <c r="B3" s="15">
        <v>0.23430000000000001</v>
      </c>
      <c r="C3" s="15">
        <v>4.8599999999999997E-2</v>
      </c>
      <c r="D3" s="15">
        <f t="shared" ref="D3:D6" si="0">B3-C3</f>
        <v>0.1857</v>
      </c>
    </row>
    <row r="4" spans="1:4" ht="27" thickBot="1" x14ac:dyDescent="0.3">
      <c r="A4" s="11">
        <v>1999</v>
      </c>
      <c r="B4" s="15">
        <v>0.2356</v>
      </c>
      <c r="C4" s="15">
        <v>4.6800000000000001E-2</v>
      </c>
      <c r="D4" s="15">
        <f t="shared" si="0"/>
        <v>0.1888</v>
      </c>
    </row>
    <row r="5" spans="1:4" ht="27" thickBot="1" x14ac:dyDescent="0.3">
      <c r="A5" s="11">
        <v>2000</v>
      </c>
      <c r="B5" s="15">
        <v>-0.1089</v>
      </c>
      <c r="C5" s="15">
        <v>5.8900000000000001E-2</v>
      </c>
      <c r="D5" s="15">
        <f t="shared" si="0"/>
        <v>-0.1678</v>
      </c>
    </row>
    <row r="6" spans="1:4" ht="27" thickBot="1" x14ac:dyDescent="0.3">
      <c r="A6" s="11">
        <v>2001</v>
      </c>
      <c r="B6" s="15">
        <v>-0.10970000000000001</v>
      </c>
      <c r="C6" s="15">
        <v>3.8300000000000001E-2</v>
      </c>
      <c r="D6" s="15">
        <f t="shared" si="0"/>
        <v>-0.14800000000000002</v>
      </c>
    </row>
    <row r="7" spans="1:4" x14ac:dyDescent="0.4">
      <c r="C7" s="31" t="s">
        <v>15</v>
      </c>
      <c r="D7" s="16">
        <f>AVERAGE(D2:D6)</f>
        <v>6.3799999999999996E-2</v>
      </c>
    </row>
    <row r="8" spans="1:4" x14ac:dyDescent="0.4">
      <c r="A8" s="31" t="s">
        <v>16</v>
      </c>
      <c r="B8" s="16">
        <f>((1+B2)*(1+B3)*(1+B4)*(1+B5)*(1+B6))^(1/5)-1</f>
        <v>9.697977053162643E-2</v>
      </c>
    </row>
    <row r="9" spans="1:4" x14ac:dyDescent="0.4">
      <c r="C9" s="13" t="s">
        <v>278</v>
      </c>
      <c r="D9" s="22">
        <f>_xlfn.STDEV.S(D2:D6)</f>
        <v>0.20469163392772066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B4ED-4A23-4E4D-B244-4DF5194D9AA0}">
  <dimension ref="A1:M250"/>
  <sheetViews>
    <sheetView tabSelected="1" workbookViewId="0">
      <selection activeCell="M2" sqref="M2"/>
    </sheetView>
  </sheetViews>
  <sheetFormatPr defaultRowHeight="15" x14ac:dyDescent="0.25"/>
  <cols>
    <col min="1" max="1" width="23.5703125" bestFit="1" customWidth="1"/>
    <col min="2" max="5" width="9.140625" style="14"/>
    <col min="6" max="6" width="9.5703125" style="14" bestFit="1" customWidth="1"/>
    <col min="7" max="7" width="19.85546875" style="14" bestFit="1" customWidth="1"/>
    <col min="8" max="8" width="12.7109375" style="14" bestFit="1" customWidth="1"/>
    <col min="9" max="9" width="11.140625" customWidth="1"/>
    <col min="10" max="10" width="23" style="14" bestFit="1" customWidth="1"/>
    <col min="12" max="12" width="22.5703125" style="14" bestFit="1" customWidth="1"/>
    <col min="13" max="13" width="9.140625" style="14"/>
  </cols>
  <sheetData>
    <row r="1" spans="1:13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32" t="s">
        <v>21</v>
      </c>
      <c r="F1" s="14" t="s">
        <v>22</v>
      </c>
      <c r="G1" s="14" t="s">
        <v>23</v>
      </c>
      <c r="H1" s="14" t="s">
        <v>24</v>
      </c>
      <c r="J1" s="14" t="s">
        <v>277</v>
      </c>
      <c r="L1" s="14" t="s">
        <v>275</v>
      </c>
      <c r="M1" s="18">
        <f>(E250-E2)/E2</f>
        <v>3.8373735298649375E-2</v>
      </c>
    </row>
    <row r="2" spans="1:13" x14ac:dyDescent="0.25">
      <c r="A2" t="s">
        <v>25</v>
      </c>
      <c r="B2" s="20">
        <v>7773</v>
      </c>
      <c r="C2" s="20">
        <v>7819.7</v>
      </c>
      <c r="D2" s="20">
        <v>7773</v>
      </c>
      <c r="E2" s="20">
        <v>7788.4</v>
      </c>
      <c r="F2" s="14">
        <v>0.2</v>
      </c>
      <c r="G2" s="14">
        <v>0.18</v>
      </c>
      <c r="H2" s="21">
        <v>967192800</v>
      </c>
      <c r="I2" s="17"/>
      <c r="M2" s="18"/>
    </row>
    <row r="3" spans="1:13" x14ac:dyDescent="0.25">
      <c r="A3" t="s">
        <v>26</v>
      </c>
      <c r="B3" s="20">
        <v>7788.4</v>
      </c>
      <c r="C3" s="20">
        <v>7788.4</v>
      </c>
      <c r="D3" s="20">
        <v>7691.3</v>
      </c>
      <c r="E3" s="20">
        <v>7702.6</v>
      </c>
      <c r="F3" s="14">
        <v>-1.1000000000000001</v>
      </c>
      <c r="G3" s="14">
        <v>-1.1200000000000001</v>
      </c>
      <c r="H3" s="21">
        <v>776321800</v>
      </c>
      <c r="I3" s="17"/>
      <c r="J3" s="18">
        <f>(E3-E2)/E2</f>
        <v>-1.1016383339325057E-2</v>
      </c>
      <c r="L3" s="14" t="s">
        <v>276</v>
      </c>
      <c r="M3" s="19">
        <f>AVERAGE(J3:J250)</f>
        <v>1.7365342639690976E-4</v>
      </c>
    </row>
    <row r="4" spans="1:13" x14ac:dyDescent="0.25">
      <c r="A4" t="s">
        <v>27</v>
      </c>
      <c r="B4" s="20">
        <v>7702.6</v>
      </c>
      <c r="C4" s="20">
        <v>7781.5</v>
      </c>
      <c r="D4" s="20">
        <v>7702.6</v>
      </c>
      <c r="E4" s="20">
        <v>7778.4</v>
      </c>
      <c r="F4" s="14">
        <v>0.98</v>
      </c>
      <c r="G4" s="14">
        <v>0.97</v>
      </c>
      <c r="H4" s="21">
        <v>608277200</v>
      </c>
      <c r="I4" s="17"/>
      <c r="J4" s="18">
        <f t="shared" ref="J4:J67" si="0">(E4-E3)/E3</f>
        <v>9.8408329654920759E-3</v>
      </c>
    </row>
    <row r="5" spans="1:13" x14ac:dyDescent="0.25">
      <c r="A5" t="s">
        <v>28</v>
      </c>
      <c r="B5" s="20">
        <v>7778.4</v>
      </c>
      <c r="C5" s="20">
        <v>7792.4</v>
      </c>
      <c r="D5" s="20">
        <v>7735.1</v>
      </c>
      <c r="E5" s="20">
        <v>7764.1</v>
      </c>
      <c r="F5" s="14">
        <v>-0.18</v>
      </c>
      <c r="G5" s="14">
        <v>-0.2</v>
      </c>
      <c r="H5" s="21">
        <v>951320100</v>
      </c>
      <c r="I5" s="17"/>
      <c r="J5" s="18">
        <f t="shared" si="0"/>
        <v>-1.8384243546229653E-3</v>
      </c>
    </row>
    <row r="6" spans="1:13" x14ac:dyDescent="0.25">
      <c r="A6" t="s">
        <v>29</v>
      </c>
      <c r="B6" s="20">
        <v>7764.1</v>
      </c>
      <c r="C6" s="20">
        <v>7779</v>
      </c>
      <c r="D6" s="20">
        <v>7727.1</v>
      </c>
      <c r="E6" s="20">
        <v>7741.3</v>
      </c>
      <c r="F6" s="14">
        <v>-0.28999999999999998</v>
      </c>
      <c r="G6" s="14">
        <v>-0.31</v>
      </c>
      <c r="H6" s="21">
        <v>712870600</v>
      </c>
      <c r="I6" s="17"/>
      <c r="J6" s="18">
        <f t="shared" si="0"/>
        <v>-2.9365927795881276E-3</v>
      </c>
    </row>
    <row r="7" spans="1:13" x14ac:dyDescent="0.25">
      <c r="A7" t="s">
        <v>30</v>
      </c>
      <c r="B7" s="20">
        <v>7741.3</v>
      </c>
      <c r="C7" s="20">
        <v>7784.3</v>
      </c>
      <c r="D7" s="20">
        <v>7679.6</v>
      </c>
      <c r="E7" s="20">
        <v>7730.6</v>
      </c>
      <c r="F7" s="14">
        <v>-0.14000000000000001</v>
      </c>
      <c r="G7" s="14">
        <v>-0.16</v>
      </c>
      <c r="H7" s="21">
        <v>883996400</v>
      </c>
      <c r="I7" s="17"/>
      <c r="J7" s="18">
        <f t="shared" si="0"/>
        <v>-1.382196788653045E-3</v>
      </c>
    </row>
    <row r="8" spans="1:13" x14ac:dyDescent="0.25">
      <c r="A8" t="s">
        <v>31</v>
      </c>
      <c r="B8" s="20">
        <v>7730.6</v>
      </c>
      <c r="C8" s="20">
        <v>7772.8</v>
      </c>
      <c r="D8" s="20">
        <v>7729</v>
      </c>
      <c r="E8" s="20">
        <v>7754.6</v>
      </c>
      <c r="F8" s="14">
        <v>0.31</v>
      </c>
      <c r="G8" s="14">
        <v>0.28999999999999998</v>
      </c>
      <c r="H8" s="21">
        <v>748114500</v>
      </c>
      <c r="I8" s="17"/>
      <c r="J8" s="18">
        <f t="shared" si="0"/>
        <v>3.1045455721418775E-3</v>
      </c>
    </row>
    <row r="9" spans="1:13" x14ac:dyDescent="0.25">
      <c r="A9" t="s">
        <v>32</v>
      </c>
      <c r="B9" s="20">
        <v>7754.6</v>
      </c>
      <c r="C9" s="20">
        <v>7794.9</v>
      </c>
      <c r="D9" s="20">
        <v>7754.6</v>
      </c>
      <c r="E9" s="20">
        <v>7777.7</v>
      </c>
      <c r="F9" s="14">
        <v>0.3</v>
      </c>
      <c r="G9" s="14">
        <v>0.28000000000000003</v>
      </c>
      <c r="H9" s="21">
        <v>735218600</v>
      </c>
      <c r="I9" s="17"/>
      <c r="J9" s="18">
        <f t="shared" si="0"/>
        <v>2.9788770536197163E-3</v>
      </c>
    </row>
    <row r="10" spans="1:13" x14ac:dyDescent="0.25">
      <c r="A10" t="s">
        <v>33</v>
      </c>
      <c r="B10" s="20">
        <v>7777.7</v>
      </c>
      <c r="C10" s="20">
        <v>7804.9</v>
      </c>
      <c r="D10" s="20">
        <v>7741.3</v>
      </c>
      <c r="E10" s="20">
        <v>7751.1</v>
      </c>
      <c r="F10" s="14">
        <v>-0.34</v>
      </c>
      <c r="G10" s="14">
        <v>-0.36</v>
      </c>
      <c r="H10" s="21">
        <v>1082316100</v>
      </c>
      <c r="I10" s="17"/>
      <c r="J10" s="18">
        <f t="shared" si="0"/>
        <v>-3.4200342003419333E-3</v>
      </c>
    </row>
    <row r="11" spans="1:13" x14ac:dyDescent="0.25">
      <c r="A11" t="s">
        <v>34</v>
      </c>
      <c r="B11" s="20">
        <v>7751.1</v>
      </c>
      <c r="C11" s="20">
        <v>7758.2</v>
      </c>
      <c r="D11" s="20">
        <v>7713</v>
      </c>
      <c r="E11" s="20">
        <v>7723.2</v>
      </c>
      <c r="F11" s="14">
        <v>-0.36</v>
      </c>
      <c r="G11" s="14">
        <v>-0.38</v>
      </c>
      <c r="H11" s="21">
        <v>701763700</v>
      </c>
      <c r="I11" s="17"/>
      <c r="J11" s="18">
        <f t="shared" si="0"/>
        <v>-3.5994891047722963E-3</v>
      </c>
    </row>
    <row r="12" spans="1:13" x14ac:dyDescent="0.25">
      <c r="A12" t="s">
        <v>35</v>
      </c>
      <c r="B12" s="20">
        <v>7723.2</v>
      </c>
      <c r="C12" s="20">
        <v>7776.6</v>
      </c>
      <c r="D12" s="20">
        <v>7723.2</v>
      </c>
      <c r="E12" s="20">
        <v>7742.3</v>
      </c>
      <c r="F12" s="14">
        <v>0.25</v>
      </c>
      <c r="G12" s="14">
        <v>0.23</v>
      </c>
      <c r="H12" s="21">
        <v>757218800</v>
      </c>
      <c r="I12" s="17"/>
      <c r="J12" s="18">
        <f t="shared" si="0"/>
        <v>2.4730681582764095E-3</v>
      </c>
    </row>
    <row r="13" spans="1:13" x14ac:dyDescent="0.25">
      <c r="A13" t="s">
        <v>36</v>
      </c>
      <c r="B13" s="20">
        <v>7742.3</v>
      </c>
      <c r="C13" s="20">
        <v>7790.9</v>
      </c>
      <c r="D13" s="20">
        <v>7742.1</v>
      </c>
      <c r="E13" s="20">
        <v>7756.9</v>
      </c>
      <c r="F13" s="14">
        <v>0.19</v>
      </c>
      <c r="G13" s="14">
        <v>0.17</v>
      </c>
      <c r="H13" s="21">
        <v>631941000</v>
      </c>
      <c r="I13" s="17"/>
      <c r="J13" s="18">
        <f t="shared" si="0"/>
        <v>1.8857445461942129E-3</v>
      </c>
    </row>
    <row r="14" spans="1:13" x14ac:dyDescent="0.25">
      <c r="A14" t="s">
        <v>37</v>
      </c>
      <c r="B14" s="20">
        <v>7756.9</v>
      </c>
      <c r="C14" s="20">
        <v>7783.4</v>
      </c>
      <c r="D14" s="20">
        <v>7750.5</v>
      </c>
      <c r="E14" s="20">
        <v>7771</v>
      </c>
      <c r="F14" s="14">
        <v>0.18</v>
      </c>
      <c r="G14" s="14">
        <v>0.16</v>
      </c>
      <c r="H14" s="21">
        <v>1205325000</v>
      </c>
      <c r="I14" s="17"/>
      <c r="J14" s="18">
        <f t="shared" si="0"/>
        <v>1.8177364668875923E-3</v>
      </c>
    </row>
    <row r="15" spans="1:13" x14ac:dyDescent="0.25">
      <c r="A15" t="s">
        <v>38</v>
      </c>
      <c r="B15" s="20">
        <v>7771</v>
      </c>
      <c r="C15" s="20">
        <v>7800.9</v>
      </c>
      <c r="D15" s="20">
        <v>7747.1</v>
      </c>
      <c r="E15" s="20">
        <v>7763</v>
      </c>
      <c r="F15" s="14">
        <v>-0.1</v>
      </c>
      <c r="G15" s="14">
        <v>-0.12</v>
      </c>
      <c r="H15" s="21">
        <v>698476000</v>
      </c>
      <c r="I15" s="17"/>
      <c r="J15" s="18">
        <f t="shared" si="0"/>
        <v>-1.029468536867842E-3</v>
      </c>
    </row>
    <row r="16" spans="1:13" x14ac:dyDescent="0.25">
      <c r="A16" t="s">
        <v>39</v>
      </c>
      <c r="B16" s="20">
        <v>7763</v>
      </c>
      <c r="C16" s="20">
        <v>7763</v>
      </c>
      <c r="D16" s="20">
        <v>7590.2</v>
      </c>
      <c r="E16" s="20">
        <v>7627.1</v>
      </c>
      <c r="F16" s="14">
        <v>-1.75</v>
      </c>
      <c r="G16" s="14">
        <v>-1.77</v>
      </c>
      <c r="H16" s="21">
        <v>989739200</v>
      </c>
      <c r="I16" s="17"/>
      <c r="J16" s="18">
        <f t="shared" si="0"/>
        <v>-1.7506118768517279E-2</v>
      </c>
    </row>
    <row r="17" spans="1:10" x14ac:dyDescent="0.25">
      <c r="A17" t="s">
        <v>40</v>
      </c>
      <c r="B17" s="20">
        <v>7627.1</v>
      </c>
      <c r="C17" s="20">
        <v>7629.1</v>
      </c>
      <c r="D17" s="20">
        <v>7569.2</v>
      </c>
      <c r="E17" s="20">
        <v>7570.9</v>
      </c>
      <c r="F17" s="14">
        <v>-0.74</v>
      </c>
      <c r="G17" s="14">
        <v>-0.75</v>
      </c>
      <c r="H17" s="21">
        <v>725330600</v>
      </c>
      <c r="I17" s="17"/>
      <c r="J17" s="18">
        <f t="shared" si="0"/>
        <v>-7.3684624562416548E-3</v>
      </c>
    </row>
    <row r="18" spans="1:10" x14ac:dyDescent="0.25">
      <c r="A18" t="s">
        <v>41</v>
      </c>
      <c r="B18" s="20">
        <v>7570.9</v>
      </c>
      <c r="C18" s="20">
        <v>7643.6</v>
      </c>
      <c r="D18" s="20">
        <v>7556.9</v>
      </c>
      <c r="E18" s="20">
        <v>7627.2</v>
      </c>
      <c r="F18" s="14">
        <v>0.74</v>
      </c>
      <c r="G18" s="14">
        <v>0.73</v>
      </c>
      <c r="H18" s="21">
        <v>817609400</v>
      </c>
      <c r="I18" s="17"/>
      <c r="J18" s="18">
        <f t="shared" si="0"/>
        <v>7.4363681992894084E-3</v>
      </c>
    </row>
    <row r="19" spans="1:10" x14ac:dyDescent="0.25">
      <c r="A19" t="s">
        <v>42</v>
      </c>
      <c r="B19" s="20">
        <v>7627.2</v>
      </c>
      <c r="C19" s="20">
        <v>7628.1</v>
      </c>
      <c r="D19" s="20">
        <v>7516.5</v>
      </c>
      <c r="E19" s="20">
        <v>7522.1</v>
      </c>
      <c r="F19" s="14">
        <v>-1.38</v>
      </c>
      <c r="G19" s="14">
        <v>-1.4</v>
      </c>
      <c r="H19" s="21">
        <v>856682400</v>
      </c>
      <c r="I19" s="17"/>
      <c r="J19" s="18">
        <f t="shared" si="0"/>
        <v>-1.3779630795049225E-2</v>
      </c>
    </row>
    <row r="20" spans="1:10" x14ac:dyDescent="0.25">
      <c r="A20" t="s">
        <v>43</v>
      </c>
      <c r="B20" s="20">
        <v>7522.1</v>
      </c>
      <c r="C20" s="20">
        <v>7522.1</v>
      </c>
      <c r="D20" s="20">
        <v>7446.1</v>
      </c>
      <c r="E20" s="20">
        <v>7446.1</v>
      </c>
      <c r="F20" s="14">
        <v>-1.01</v>
      </c>
      <c r="G20" s="14">
        <v>-1.03</v>
      </c>
      <c r="H20" s="21">
        <v>2295618500</v>
      </c>
      <c r="I20" s="17"/>
      <c r="J20" s="18">
        <f t="shared" si="0"/>
        <v>-1.0103561505430663E-2</v>
      </c>
    </row>
    <row r="21" spans="1:10" x14ac:dyDescent="0.25">
      <c r="A21" t="s">
        <v>44</v>
      </c>
      <c r="B21" s="20">
        <v>7446.1</v>
      </c>
      <c r="C21" s="20">
        <v>7498.6</v>
      </c>
      <c r="D21" s="20">
        <v>7445.3</v>
      </c>
      <c r="E21" s="20">
        <v>7490.3</v>
      </c>
      <c r="F21" s="14">
        <v>0.59</v>
      </c>
      <c r="G21" s="14">
        <v>0.57999999999999996</v>
      </c>
      <c r="H21" s="21">
        <v>967347300</v>
      </c>
      <c r="I21" s="17"/>
      <c r="J21" s="18">
        <f t="shared" si="0"/>
        <v>5.9359933387947809E-3</v>
      </c>
    </row>
    <row r="22" spans="1:10" x14ac:dyDescent="0.25">
      <c r="A22" t="s">
        <v>45</v>
      </c>
      <c r="B22" s="20">
        <v>7490.3</v>
      </c>
      <c r="C22" s="20">
        <v>7614.9</v>
      </c>
      <c r="D22" s="20">
        <v>7490</v>
      </c>
      <c r="E22" s="20">
        <v>7607.3</v>
      </c>
      <c r="F22" s="14">
        <v>1.56</v>
      </c>
      <c r="G22" s="14">
        <v>1.54</v>
      </c>
      <c r="H22" s="21">
        <v>638696900</v>
      </c>
      <c r="I22" s="17"/>
      <c r="J22" s="18">
        <f t="shared" si="0"/>
        <v>1.5620202128085656E-2</v>
      </c>
    </row>
    <row r="23" spans="1:10" x14ac:dyDescent="0.25">
      <c r="A23" t="s">
        <v>46</v>
      </c>
      <c r="B23" s="20">
        <v>7607.3</v>
      </c>
      <c r="C23" s="20">
        <v>7654.8</v>
      </c>
      <c r="D23" s="20">
        <v>7594.1</v>
      </c>
      <c r="E23" s="20">
        <v>7600</v>
      </c>
      <c r="F23" s="14">
        <v>-0.1</v>
      </c>
      <c r="G23" s="14">
        <v>-0.11</v>
      </c>
      <c r="H23" s="21">
        <v>548992900</v>
      </c>
      <c r="I23" s="17"/>
      <c r="J23" s="18">
        <f t="shared" si="0"/>
        <v>-9.5960459032773545E-4</v>
      </c>
    </row>
    <row r="24" spans="1:10" x14ac:dyDescent="0.25">
      <c r="A24" t="s">
        <v>47</v>
      </c>
      <c r="B24" s="20">
        <v>7600</v>
      </c>
      <c r="C24" s="20">
        <v>7636.1</v>
      </c>
      <c r="D24" s="20">
        <v>7556.2</v>
      </c>
      <c r="E24" s="20">
        <v>7628.1</v>
      </c>
      <c r="F24" s="14">
        <v>0.37</v>
      </c>
      <c r="G24" s="14">
        <v>0.35</v>
      </c>
      <c r="H24" s="21">
        <v>686044700</v>
      </c>
      <c r="I24" s="17"/>
      <c r="J24" s="18">
        <f t="shared" si="0"/>
        <v>3.6973684210526796E-3</v>
      </c>
    </row>
    <row r="25" spans="1:10" x14ac:dyDescent="0.25">
      <c r="A25" t="s">
        <v>48</v>
      </c>
      <c r="B25" s="20">
        <v>7628.1</v>
      </c>
      <c r="C25" s="20">
        <v>7642.4</v>
      </c>
      <c r="D25" s="20">
        <v>7604.4</v>
      </c>
      <c r="E25" s="20">
        <v>7624.3</v>
      </c>
      <c r="F25" s="14">
        <v>-0.05</v>
      </c>
      <c r="G25" s="14">
        <v>-7.0000000000000007E-2</v>
      </c>
      <c r="H25" s="21">
        <v>617864100</v>
      </c>
      <c r="I25" s="17"/>
      <c r="J25" s="18">
        <f t="shared" si="0"/>
        <v>-4.9815812587671656E-4</v>
      </c>
    </row>
    <row r="26" spans="1:10" x14ac:dyDescent="0.25">
      <c r="A26" t="s">
        <v>49</v>
      </c>
      <c r="B26" s="20">
        <v>7624.3</v>
      </c>
      <c r="C26" s="20">
        <v>7638.6</v>
      </c>
      <c r="D26" s="20">
        <v>7588</v>
      </c>
      <c r="E26" s="20">
        <v>7599.7</v>
      </c>
      <c r="F26" s="14">
        <v>-0.32</v>
      </c>
      <c r="G26" s="14">
        <v>-0.34</v>
      </c>
      <c r="H26" s="21">
        <v>531758500</v>
      </c>
      <c r="I26" s="17"/>
      <c r="J26" s="18">
        <f t="shared" si="0"/>
        <v>-3.2265257138360719E-3</v>
      </c>
    </row>
    <row r="27" spans="1:10" x14ac:dyDescent="0.25">
      <c r="A27" t="s">
        <v>50</v>
      </c>
      <c r="B27" s="20">
        <v>7599.7</v>
      </c>
      <c r="C27" s="20">
        <v>7621.7</v>
      </c>
      <c r="D27" s="20">
        <v>7546.5</v>
      </c>
      <c r="E27" s="20">
        <v>7562.4</v>
      </c>
      <c r="F27" s="14">
        <v>-0.49</v>
      </c>
      <c r="G27" s="14">
        <v>-0.51</v>
      </c>
      <c r="H27" s="21">
        <v>564539300</v>
      </c>
      <c r="I27" s="17"/>
      <c r="J27" s="18">
        <f t="shared" si="0"/>
        <v>-4.9080884771767544E-3</v>
      </c>
    </row>
    <row r="28" spans="1:10" x14ac:dyDescent="0.25">
      <c r="A28" t="s">
        <v>51</v>
      </c>
      <c r="B28" s="20">
        <v>7562.4</v>
      </c>
      <c r="C28" s="20">
        <v>7599.9</v>
      </c>
      <c r="D28" s="20">
        <v>7556.8</v>
      </c>
      <c r="E28" s="20">
        <v>7570.7</v>
      </c>
      <c r="F28" s="14">
        <v>0.11</v>
      </c>
      <c r="G28" s="14">
        <v>0.09</v>
      </c>
      <c r="H28" s="21">
        <v>542917600</v>
      </c>
      <c r="I28" s="17"/>
      <c r="J28" s="18">
        <f t="shared" si="0"/>
        <v>1.0975351740188542E-3</v>
      </c>
    </row>
    <row r="29" spans="1:10" x14ac:dyDescent="0.25">
      <c r="A29" t="s">
        <v>52</v>
      </c>
      <c r="B29" s="20">
        <v>7570.7</v>
      </c>
      <c r="C29" s="20">
        <v>7610.8</v>
      </c>
      <c r="D29" s="20">
        <v>7556.3</v>
      </c>
      <c r="E29" s="20">
        <v>7594.8</v>
      </c>
      <c r="F29" s="14">
        <v>0.32</v>
      </c>
      <c r="G29" s="14">
        <v>0.3</v>
      </c>
      <c r="H29" s="21">
        <v>1003241900</v>
      </c>
      <c r="I29" s="17"/>
      <c r="J29" s="18">
        <f t="shared" si="0"/>
        <v>3.1833251878954872E-3</v>
      </c>
    </row>
    <row r="30" spans="1:10" x14ac:dyDescent="0.25">
      <c r="A30" t="s">
        <v>53</v>
      </c>
      <c r="B30" s="20">
        <v>7594.8</v>
      </c>
      <c r="C30" s="20">
        <v>7639.8</v>
      </c>
      <c r="D30" s="20">
        <v>7579.3</v>
      </c>
      <c r="E30" s="20">
        <v>7602.7</v>
      </c>
      <c r="F30" s="14">
        <v>0.1</v>
      </c>
      <c r="G30" s="14">
        <v>0.09</v>
      </c>
      <c r="H30" s="21">
        <v>698184100</v>
      </c>
      <c r="I30" s="17"/>
      <c r="J30" s="18">
        <f t="shared" si="0"/>
        <v>1.0401853900036389E-3</v>
      </c>
    </row>
    <row r="31" spans="1:10" x14ac:dyDescent="0.25">
      <c r="A31" t="s">
        <v>54</v>
      </c>
      <c r="B31" s="20">
        <v>7602.7</v>
      </c>
      <c r="C31" s="20">
        <v>7632.7</v>
      </c>
      <c r="D31" s="20">
        <v>7584.8</v>
      </c>
      <c r="E31" s="20">
        <v>7628.3</v>
      </c>
      <c r="F31" s="14">
        <v>0.34</v>
      </c>
      <c r="G31" s="14">
        <v>0.32</v>
      </c>
      <c r="H31" s="21">
        <v>837993200</v>
      </c>
      <c r="I31" s="17"/>
      <c r="J31" s="18">
        <f t="shared" si="0"/>
        <v>3.3672248017152279E-3</v>
      </c>
    </row>
    <row r="32" spans="1:10" x14ac:dyDescent="0.25">
      <c r="A32" t="s">
        <v>55</v>
      </c>
      <c r="B32" s="20">
        <v>7628.3</v>
      </c>
      <c r="C32" s="20">
        <v>7687.6</v>
      </c>
      <c r="D32" s="20">
        <v>7627.8</v>
      </c>
      <c r="E32" s="20">
        <v>7642.7</v>
      </c>
      <c r="F32" s="14">
        <v>0.19</v>
      </c>
      <c r="G32" s="14">
        <v>0.17</v>
      </c>
      <c r="H32" s="21">
        <v>2009880700</v>
      </c>
      <c r="I32" s="17"/>
      <c r="J32" s="18">
        <f t="shared" si="0"/>
        <v>1.8877076150649078E-3</v>
      </c>
    </row>
    <row r="33" spans="1:10" x14ac:dyDescent="0.25">
      <c r="A33" t="s">
        <v>56</v>
      </c>
      <c r="B33" s="20">
        <v>7642.7</v>
      </c>
      <c r="C33" s="20">
        <v>7642.7</v>
      </c>
      <c r="D33" s="20">
        <v>7581.8</v>
      </c>
      <c r="E33" s="20">
        <v>7588.5</v>
      </c>
      <c r="F33" s="14">
        <v>-0.71</v>
      </c>
      <c r="G33" s="14">
        <v>-0.73</v>
      </c>
      <c r="H33" s="21">
        <v>439722500</v>
      </c>
      <c r="I33" s="17"/>
      <c r="J33" s="18">
        <f t="shared" si="0"/>
        <v>-7.0917345964122388E-3</v>
      </c>
    </row>
    <row r="34" spans="1:10" x14ac:dyDescent="0.25">
      <c r="A34" t="s">
        <v>57</v>
      </c>
      <c r="B34" s="20">
        <v>7588.5</v>
      </c>
      <c r="C34" s="20">
        <v>7607.5</v>
      </c>
      <c r="D34" s="20">
        <v>7566.3</v>
      </c>
      <c r="E34" s="20">
        <v>7569.3</v>
      </c>
      <c r="F34" s="14">
        <v>-0.25</v>
      </c>
      <c r="G34" s="14">
        <v>-0.27</v>
      </c>
      <c r="H34" s="21">
        <v>584448300</v>
      </c>
      <c r="I34" s="17"/>
      <c r="J34" s="18">
        <f t="shared" si="0"/>
        <v>-2.5301442972919309E-3</v>
      </c>
    </row>
    <row r="35" spans="1:10" x14ac:dyDescent="0.25">
      <c r="A35" t="s">
        <v>58</v>
      </c>
      <c r="B35" s="20">
        <v>7569.3</v>
      </c>
      <c r="C35" s="20">
        <v>7577.6</v>
      </c>
      <c r="D35" s="20">
        <v>7520.9</v>
      </c>
      <c r="E35" s="20">
        <v>7559.2</v>
      </c>
      <c r="F35" s="14">
        <v>-0.13</v>
      </c>
      <c r="G35" s="14">
        <v>-0.15</v>
      </c>
      <c r="H35" s="21">
        <v>611718700</v>
      </c>
      <c r="I35" s="17"/>
      <c r="J35" s="18">
        <f t="shared" si="0"/>
        <v>-1.3343373891905941E-3</v>
      </c>
    </row>
    <row r="36" spans="1:10" x14ac:dyDescent="0.25">
      <c r="A36" t="s">
        <v>59</v>
      </c>
      <c r="B36" s="20">
        <v>7559.2</v>
      </c>
      <c r="C36" s="20">
        <v>7559.2</v>
      </c>
      <c r="D36" s="20">
        <v>7458.4</v>
      </c>
      <c r="E36" s="20">
        <v>7502</v>
      </c>
      <c r="F36" s="14">
        <v>-0.76</v>
      </c>
      <c r="G36" s="14">
        <v>-0.77</v>
      </c>
      <c r="H36" s="21">
        <v>677771300</v>
      </c>
      <c r="I36" s="17"/>
      <c r="J36" s="18">
        <f t="shared" si="0"/>
        <v>-7.5669383003492191E-3</v>
      </c>
    </row>
    <row r="37" spans="1:10" x14ac:dyDescent="0.25">
      <c r="A37" t="s">
        <v>60</v>
      </c>
      <c r="B37" s="20">
        <v>7502</v>
      </c>
      <c r="C37" s="20">
        <v>7502</v>
      </c>
      <c r="D37" s="20">
        <v>7439.7</v>
      </c>
      <c r="E37" s="20">
        <v>7461.9</v>
      </c>
      <c r="F37" s="14">
        <v>-0.53</v>
      </c>
      <c r="G37" s="14">
        <v>-0.55000000000000004</v>
      </c>
      <c r="H37" s="21">
        <v>621489600</v>
      </c>
      <c r="I37" s="17"/>
      <c r="J37" s="18">
        <f t="shared" si="0"/>
        <v>-5.3452412689949831E-3</v>
      </c>
    </row>
    <row r="38" spans="1:10" x14ac:dyDescent="0.25">
      <c r="A38" t="s">
        <v>61</v>
      </c>
      <c r="B38" s="20">
        <v>7461.9</v>
      </c>
      <c r="C38" s="20">
        <v>7476.5</v>
      </c>
      <c r="D38" s="20">
        <v>7401.2</v>
      </c>
      <c r="E38" s="20">
        <v>7453.6</v>
      </c>
      <c r="F38" s="14">
        <v>-0.11</v>
      </c>
      <c r="G38" s="14">
        <v>-0.13</v>
      </c>
      <c r="H38" s="21">
        <v>850546800</v>
      </c>
      <c r="I38" s="17"/>
      <c r="J38" s="18">
        <f t="shared" si="0"/>
        <v>-1.1123172382368127E-3</v>
      </c>
    </row>
    <row r="39" spans="1:10" x14ac:dyDescent="0.25">
      <c r="A39" t="s">
        <v>62</v>
      </c>
      <c r="B39" s="20">
        <v>7453.6</v>
      </c>
      <c r="C39" s="20">
        <v>7495.9</v>
      </c>
      <c r="D39" s="20">
        <v>7428.1</v>
      </c>
      <c r="E39" s="20">
        <v>7461.5</v>
      </c>
      <c r="F39" s="14">
        <v>0.11</v>
      </c>
      <c r="G39" s="14">
        <v>0.09</v>
      </c>
      <c r="H39" s="21">
        <v>674737200</v>
      </c>
      <c r="I39" s="17"/>
      <c r="J39" s="18">
        <f t="shared" si="0"/>
        <v>1.0598905227003912E-3</v>
      </c>
    </row>
    <row r="40" spans="1:10" x14ac:dyDescent="0.25">
      <c r="A40" t="s">
        <v>63</v>
      </c>
      <c r="B40" s="20">
        <v>7461.5</v>
      </c>
      <c r="C40" s="20">
        <v>7518.3</v>
      </c>
      <c r="D40" s="20">
        <v>7461.5</v>
      </c>
      <c r="E40" s="20">
        <v>7500.5</v>
      </c>
      <c r="F40" s="14">
        <v>0.52</v>
      </c>
      <c r="G40" s="14">
        <v>0.5</v>
      </c>
      <c r="H40" s="21">
        <v>642762300</v>
      </c>
      <c r="I40" s="17"/>
      <c r="J40" s="18">
        <f t="shared" si="0"/>
        <v>5.2268310661395161E-3</v>
      </c>
    </row>
    <row r="41" spans="1:10" x14ac:dyDescent="0.25">
      <c r="A41" t="s">
        <v>64</v>
      </c>
      <c r="B41" s="20">
        <v>7500.5</v>
      </c>
      <c r="C41" s="20">
        <v>7505.6</v>
      </c>
      <c r="D41" s="20">
        <v>7460.5</v>
      </c>
      <c r="E41" s="20">
        <v>7471.7</v>
      </c>
      <c r="F41" s="14">
        <v>-0.38</v>
      </c>
      <c r="G41" s="14">
        <v>-0.4</v>
      </c>
      <c r="H41" s="21">
        <v>609425000</v>
      </c>
      <c r="I41" s="17"/>
      <c r="J41" s="18">
        <f t="shared" si="0"/>
        <v>-3.8397440170655534E-3</v>
      </c>
    </row>
    <row r="42" spans="1:10" x14ac:dyDescent="0.25">
      <c r="A42" t="s">
        <v>65</v>
      </c>
      <c r="B42" s="20">
        <v>7471.7</v>
      </c>
      <c r="C42" s="20">
        <v>7551.6</v>
      </c>
      <c r="D42" s="20">
        <v>7471.7</v>
      </c>
      <c r="E42" s="20">
        <v>7531.5</v>
      </c>
      <c r="F42" s="14">
        <v>0.8</v>
      </c>
      <c r="G42" s="14">
        <v>0.78</v>
      </c>
      <c r="H42" s="21">
        <v>729525300</v>
      </c>
      <c r="I42" s="17"/>
      <c r="J42" s="18">
        <f t="shared" si="0"/>
        <v>8.0035333324411026E-3</v>
      </c>
    </row>
    <row r="43" spans="1:10" x14ac:dyDescent="0.25">
      <c r="A43" t="s">
        <v>66</v>
      </c>
      <c r="B43" s="20">
        <v>7531.5</v>
      </c>
      <c r="C43" s="20">
        <v>7561.3</v>
      </c>
      <c r="D43" s="20">
        <v>7513.9</v>
      </c>
      <c r="E43" s="20">
        <v>7527.3</v>
      </c>
      <c r="F43" s="14">
        <v>-0.06</v>
      </c>
      <c r="G43" s="14">
        <v>-7.0000000000000007E-2</v>
      </c>
      <c r="H43" s="21">
        <v>533889900</v>
      </c>
      <c r="I43" s="17"/>
      <c r="J43" s="18">
        <f t="shared" si="0"/>
        <v>-5.5765783708422207E-4</v>
      </c>
    </row>
    <row r="44" spans="1:10" x14ac:dyDescent="0.25">
      <c r="A44" t="s">
        <v>67</v>
      </c>
      <c r="B44" s="20">
        <v>7527.3</v>
      </c>
      <c r="C44" s="20">
        <v>7547.4</v>
      </c>
      <c r="D44" s="20">
        <v>7518.4</v>
      </c>
      <c r="E44" s="20">
        <v>7519.7</v>
      </c>
      <c r="F44" s="14">
        <v>-0.1</v>
      </c>
      <c r="G44" s="14">
        <v>-0.12</v>
      </c>
      <c r="H44" s="21">
        <v>664948700</v>
      </c>
      <c r="I44" s="17"/>
      <c r="J44" s="18">
        <f t="shared" si="0"/>
        <v>-1.0096581775670378E-3</v>
      </c>
    </row>
    <row r="45" spans="1:10" x14ac:dyDescent="0.25">
      <c r="A45" t="s">
        <v>68</v>
      </c>
      <c r="B45" s="20">
        <v>7519.7</v>
      </c>
      <c r="C45" s="20">
        <v>7519.7</v>
      </c>
      <c r="D45" s="20">
        <v>7434.7</v>
      </c>
      <c r="E45" s="20">
        <v>7442.1</v>
      </c>
      <c r="F45" s="14">
        <v>-1.03</v>
      </c>
      <c r="G45" s="14">
        <v>-1.05</v>
      </c>
      <c r="H45" s="21">
        <v>765061200</v>
      </c>
      <c r="I45" s="17"/>
      <c r="J45" s="18">
        <f t="shared" si="0"/>
        <v>-1.0319560620769374E-2</v>
      </c>
    </row>
    <row r="46" spans="1:10" x14ac:dyDescent="0.25">
      <c r="A46" t="s">
        <v>69</v>
      </c>
      <c r="B46" s="20">
        <v>7442.1</v>
      </c>
      <c r="C46" s="20">
        <v>7442.1</v>
      </c>
      <c r="D46" s="20">
        <v>7267.6</v>
      </c>
      <c r="E46" s="20">
        <v>7280.5</v>
      </c>
      <c r="F46" s="14">
        <v>-2.17</v>
      </c>
      <c r="G46" s="14">
        <v>-2.19</v>
      </c>
      <c r="H46" s="21">
        <v>744552600</v>
      </c>
      <c r="I46" s="17"/>
      <c r="J46" s="18">
        <f t="shared" si="0"/>
        <v>-2.1714301070934326E-2</v>
      </c>
    </row>
    <row r="47" spans="1:10" x14ac:dyDescent="0.25">
      <c r="A47" t="s">
        <v>70</v>
      </c>
      <c r="B47" s="20">
        <v>7280.5</v>
      </c>
      <c r="C47" s="20">
        <v>7280.5</v>
      </c>
      <c r="D47" s="20">
        <v>7229.6</v>
      </c>
      <c r="E47" s="20">
        <v>7256.9</v>
      </c>
      <c r="F47" s="14">
        <v>-0.32</v>
      </c>
      <c r="G47" s="14">
        <v>-0.34</v>
      </c>
      <c r="H47" s="21">
        <v>494690600</v>
      </c>
      <c r="I47" s="17"/>
      <c r="J47" s="18">
        <f t="shared" si="0"/>
        <v>-3.2415356088181255E-3</v>
      </c>
    </row>
    <row r="48" spans="1:10" x14ac:dyDescent="0.25">
      <c r="A48" t="s">
        <v>71</v>
      </c>
      <c r="B48" s="20">
        <v>7256.9</v>
      </c>
      <c r="C48" s="20">
        <v>7306.1</v>
      </c>
      <c r="D48" s="20">
        <v>7238.7</v>
      </c>
      <c r="E48" s="20">
        <v>7273.8</v>
      </c>
      <c r="F48" s="14">
        <v>0.23</v>
      </c>
      <c r="G48" s="14">
        <v>0.21</v>
      </c>
      <c r="H48" s="21">
        <v>428066100</v>
      </c>
      <c r="I48" s="17"/>
      <c r="J48" s="18">
        <f t="shared" si="0"/>
        <v>2.328818090369241E-3</v>
      </c>
    </row>
    <row r="49" spans="1:10" x14ac:dyDescent="0.25">
      <c r="A49" t="s">
        <v>72</v>
      </c>
      <c r="B49" s="20">
        <v>7273.8</v>
      </c>
      <c r="C49" s="20">
        <v>7285.3</v>
      </c>
      <c r="D49" s="20">
        <v>7239.2</v>
      </c>
      <c r="E49" s="20">
        <v>7282.5</v>
      </c>
      <c r="F49" s="14">
        <v>0.12</v>
      </c>
      <c r="G49" s="14">
        <v>0.1</v>
      </c>
      <c r="H49" s="21">
        <v>790355100</v>
      </c>
      <c r="I49" s="17"/>
      <c r="J49" s="18">
        <f t="shared" si="0"/>
        <v>1.1960735791470508E-3</v>
      </c>
    </row>
    <row r="50" spans="1:10" x14ac:dyDescent="0.25">
      <c r="A50" t="s">
        <v>73</v>
      </c>
      <c r="B50" s="20">
        <v>7282.5</v>
      </c>
      <c r="C50" s="20">
        <v>7425.1</v>
      </c>
      <c r="D50" s="20">
        <v>7282.5</v>
      </c>
      <c r="E50" s="20">
        <v>7416.1</v>
      </c>
      <c r="F50" s="14">
        <v>1.83</v>
      </c>
      <c r="G50" s="14">
        <v>1.82</v>
      </c>
      <c r="H50" s="21">
        <v>994258000</v>
      </c>
      <c r="I50" s="17"/>
      <c r="J50" s="18">
        <f t="shared" si="0"/>
        <v>1.8345348438036438E-2</v>
      </c>
    </row>
    <row r="51" spans="1:10" x14ac:dyDescent="0.25">
      <c r="A51" t="s">
        <v>74</v>
      </c>
      <c r="B51" s="20">
        <v>7416.1</v>
      </c>
      <c r="C51" s="20">
        <v>7457.2</v>
      </c>
      <c r="D51" s="20">
        <v>7409.3</v>
      </c>
      <c r="E51" s="20">
        <v>7440.2</v>
      </c>
      <c r="F51" s="14">
        <v>0.32</v>
      </c>
      <c r="G51" s="14">
        <v>0.31</v>
      </c>
      <c r="H51" s="21">
        <v>584537900</v>
      </c>
      <c r="I51" s="17"/>
      <c r="J51" s="18">
        <f t="shared" si="0"/>
        <v>3.2496864929005076E-3</v>
      </c>
    </row>
    <row r="52" spans="1:10" x14ac:dyDescent="0.25">
      <c r="A52" t="s">
        <v>75</v>
      </c>
      <c r="B52" s="20">
        <v>7440.2</v>
      </c>
      <c r="C52" s="20">
        <v>7480.4</v>
      </c>
      <c r="D52" s="20">
        <v>7421.3</v>
      </c>
      <c r="E52" s="20">
        <v>7434.6</v>
      </c>
      <c r="F52" s="14">
        <v>-0.08</v>
      </c>
      <c r="G52" s="14">
        <v>-0.09</v>
      </c>
      <c r="H52" s="21">
        <v>620458500</v>
      </c>
      <c r="I52" s="17"/>
      <c r="J52" s="18">
        <f t="shared" si="0"/>
        <v>-7.5266793903382362E-4</v>
      </c>
    </row>
    <row r="53" spans="1:10" x14ac:dyDescent="0.25">
      <c r="A53" t="s">
        <v>76</v>
      </c>
      <c r="B53" s="20">
        <v>7434.6</v>
      </c>
      <c r="C53" s="20">
        <v>7437.6</v>
      </c>
      <c r="D53" s="20">
        <v>7395.7</v>
      </c>
      <c r="E53" s="20">
        <v>7406.4</v>
      </c>
      <c r="F53" s="14">
        <v>-0.38</v>
      </c>
      <c r="G53" s="14">
        <v>-0.4</v>
      </c>
      <c r="H53" s="21">
        <v>439714200</v>
      </c>
      <c r="I53" s="17"/>
      <c r="J53" s="18">
        <f t="shared" si="0"/>
        <v>-3.7930756194012758E-3</v>
      </c>
    </row>
    <row r="54" spans="1:10" x14ac:dyDescent="0.25">
      <c r="A54" t="s">
        <v>77</v>
      </c>
      <c r="B54" s="20">
        <v>7406.4</v>
      </c>
      <c r="C54" s="20">
        <v>7459.2</v>
      </c>
      <c r="D54" s="20">
        <v>7398.5</v>
      </c>
      <c r="E54" s="20">
        <v>7453.7</v>
      </c>
      <c r="F54" s="14">
        <v>0.64</v>
      </c>
      <c r="G54" s="14">
        <v>0.62</v>
      </c>
      <c r="H54" s="21">
        <v>464666400</v>
      </c>
      <c r="I54" s="17"/>
      <c r="J54" s="18">
        <f t="shared" si="0"/>
        <v>6.3863685461222975E-3</v>
      </c>
    </row>
    <row r="55" spans="1:10" x14ac:dyDescent="0.25">
      <c r="A55" t="s">
        <v>78</v>
      </c>
      <c r="B55" s="20">
        <v>7453.7</v>
      </c>
      <c r="C55" s="20">
        <v>7625.1</v>
      </c>
      <c r="D55" s="20">
        <v>7453.7</v>
      </c>
      <c r="E55" s="20">
        <v>7588.2</v>
      </c>
      <c r="F55" s="14">
        <v>1.8</v>
      </c>
      <c r="G55" s="14">
        <v>1.79</v>
      </c>
      <c r="H55" s="21">
        <v>888485400</v>
      </c>
      <c r="I55" s="17"/>
      <c r="J55" s="18">
        <f t="shared" si="0"/>
        <v>1.8044729463219611E-2</v>
      </c>
    </row>
    <row r="56" spans="1:10" x14ac:dyDescent="0.25">
      <c r="A56" t="s">
        <v>79</v>
      </c>
      <c r="B56" s="20">
        <v>7588.2</v>
      </c>
      <c r="C56" s="20">
        <v>7661.9</v>
      </c>
      <c r="D56" s="20">
        <v>7585.9</v>
      </c>
      <c r="E56" s="20">
        <v>7646.1</v>
      </c>
      <c r="F56" s="14">
        <v>0.76</v>
      </c>
      <c r="G56" s="14">
        <v>0.74</v>
      </c>
      <c r="H56" s="21">
        <v>637548700</v>
      </c>
      <c r="I56" s="17"/>
      <c r="J56" s="18">
        <f t="shared" si="0"/>
        <v>7.6302680477584334E-3</v>
      </c>
    </row>
    <row r="57" spans="1:10" x14ac:dyDescent="0.25">
      <c r="A57" t="s">
        <v>80</v>
      </c>
      <c r="B57" s="20">
        <v>7646.1</v>
      </c>
      <c r="C57" s="20">
        <v>7674.2</v>
      </c>
      <c r="D57" s="20">
        <v>7639.5</v>
      </c>
      <c r="E57" s="20">
        <v>7663.7</v>
      </c>
      <c r="F57" s="14">
        <v>0.23</v>
      </c>
      <c r="G57" s="14">
        <v>0.21</v>
      </c>
      <c r="H57" s="21">
        <v>506950300</v>
      </c>
      <c r="I57" s="17"/>
      <c r="J57" s="18">
        <f t="shared" si="0"/>
        <v>2.301827075240901E-3</v>
      </c>
    </row>
    <row r="58" spans="1:10" x14ac:dyDescent="0.25">
      <c r="A58" t="s">
        <v>81</v>
      </c>
      <c r="B58" s="20">
        <v>7663.7</v>
      </c>
      <c r="C58" s="20">
        <v>7685</v>
      </c>
      <c r="D58" s="20">
        <v>7633.3</v>
      </c>
      <c r="E58" s="20">
        <v>7678.6</v>
      </c>
      <c r="F58" s="14">
        <v>0.19</v>
      </c>
      <c r="G58" s="14">
        <v>0.18</v>
      </c>
      <c r="H58" s="21">
        <v>521826500</v>
      </c>
      <c r="I58" s="17"/>
      <c r="J58" s="18">
        <f t="shared" si="0"/>
        <v>1.9442305935775861E-3</v>
      </c>
    </row>
    <row r="59" spans="1:10" x14ac:dyDescent="0.25">
      <c r="A59" t="s">
        <v>82</v>
      </c>
      <c r="B59" s="20">
        <v>7678.6</v>
      </c>
      <c r="C59" s="20">
        <v>7702.4</v>
      </c>
      <c r="D59" s="20">
        <v>7676.5</v>
      </c>
      <c r="E59" s="20">
        <v>7691.8</v>
      </c>
      <c r="F59" s="14">
        <v>0.17</v>
      </c>
      <c r="G59" s="14">
        <v>0.15</v>
      </c>
      <c r="H59" s="21">
        <v>444691500</v>
      </c>
      <c r="I59" s="17"/>
      <c r="J59" s="18">
        <f t="shared" si="0"/>
        <v>1.7190633709269682E-3</v>
      </c>
    </row>
    <row r="60" spans="1:10" x14ac:dyDescent="0.25">
      <c r="A60" t="s">
        <v>83</v>
      </c>
      <c r="B60" s="20">
        <v>7691.8</v>
      </c>
      <c r="C60" s="20">
        <v>7702.7</v>
      </c>
      <c r="D60" s="20">
        <v>7630</v>
      </c>
      <c r="E60" s="20">
        <v>7676.9</v>
      </c>
      <c r="F60" s="14">
        <v>-0.19</v>
      </c>
      <c r="G60" s="14">
        <v>-0.21</v>
      </c>
      <c r="H60" s="21">
        <v>807357200</v>
      </c>
      <c r="I60" s="17"/>
      <c r="J60" s="18">
        <f t="shared" si="0"/>
        <v>-1.9371278504381998E-3</v>
      </c>
    </row>
    <row r="61" spans="1:10" x14ac:dyDescent="0.25">
      <c r="A61" t="s">
        <v>84</v>
      </c>
      <c r="B61" s="20">
        <v>7676.9</v>
      </c>
      <c r="C61" s="20">
        <v>7709.7</v>
      </c>
      <c r="D61" s="20">
        <v>7662.4</v>
      </c>
      <c r="E61" s="20">
        <v>7692.8</v>
      </c>
      <c r="F61" s="14">
        <v>0.21</v>
      </c>
      <c r="G61" s="14">
        <v>0.19</v>
      </c>
      <c r="H61" s="21">
        <v>963946300</v>
      </c>
      <c r="I61" s="17"/>
      <c r="J61" s="18">
        <f t="shared" si="0"/>
        <v>2.0711485104665354E-3</v>
      </c>
    </row>
    <row r="62" spans="1:10" x14ac:dyDescent="0.25">
      <c r="A62" t="s">
        <v>85</v>
      </c>
      <c r="B62" s="20">
        <v>7692.8</v>
      </c>
      <c r="C62" s="20">
        <v>7716.8</v>
      </c>
      <c r="D62" s="20">
        <v>7680.2</v>
      </c>
      <c r="E62" s="20">
        <v>7694.3</v>
      </c>
      <c r="F62" s="14">
        <v>0.02</v>
      </c>
      <c r="G62" s="14">
        <v>0</v>
      </c>
      <c r="H62" s="21">
        <v>713370800</v>
      </c>
      <c r="I62" s="17"/>
      <c r="J62" s="18">
        <f t="shared" si="0"/>
        <v>1.9498752079866887E-4</v>
      </c>
    </row>
    <row r="63" spans="1:10" x14ac:dyDescent="0.25">
      <c r="A63" t="s">
        <v>86</v>
      </c>
      <c r="B63" s="20">
        <v>7694.3</v>
      </c>
      <c r="C63" s="20">
        <v>7722.9</v>
      </c>
      <c r="D63" s="20">
        <v>7667.8</v>
      </c>
      <c r="E63" s="20">
        <v>7699.4</v>
      </c>
      <c r="F63" s="14">
        <v>7.0000000000000007E-2</v>
      </c>
      <c r="G63" s="14">
        <v>0.05</v>
      </c>
      <c r="H63" s="21">
        <v>594121300</v>
      </c>
      <c r="I63" s="17"/>
      <c r="J63" s="18">
        <f t="shared" si="0"/>
        <v>6.6282832746311605E-4</v>
      </c>
    </row>
    <row r="64" spans="1:10" x14ac:dyDescent="0.25">
      <c r="A64" t="s">
        <v>87</v>
      </c>
      <c r="B64" s="20">
        <v>7699.4</v>
      </c>
      <c r="C64" s="20">
        <v>7715.2</v>
      </c>
      <c r="D64" s="20">
        <v>7650.2</v>
      </c>
      <c r="E64" s="20">
        <v>7666.3</v>
      </c>
      <c r="F64" s="14">
        <v>-0.43</v>
      </c>
      <c r="G64" s="14">
        <v>-0.45</v>
      </c>
      <c r="H64" s="21">
        <v>557045700</v>
      </c>
      <c r="I64" s="17"/>
      <c r="J64" s="18">
        <f t="shared" si="0"/>
        <v>-4.2990362885418935E-3</v>
      </c>
    </row>
    <row r="65" spans="1:10" x14ac:dyDescent="0.25">
      <c r="A65" t="s">
        <v>88</v>
      </c>
      <c r="B65" s="20">
        <v>7666.3</v>
      </c>
      <c r="C65" s="20">
        <v>7666.3</v>
      </c>
      <c r="D65" s="20">
        <v>7522.2</v>
      </c>
      <c r="E65" s="20">
        <v>7561.6</v>
      </c>
      <c r="F65" s="14">
        <v>-1.37</v>
      </c>
      <c r="G65" s="14">
        <v>-1.38</v>
      </c>
      <c r="H65" s="21">
        <v>746909700</v>
      </c>
      <c r="I65" s="17"/>
      <c r="J65" s="18">
        <f t="shared" si="0"/>
        <v>-1.3657174908365158E-2</v>
      </c>
    </row>
    <row r="66" spans="1:10" x14ac:dyDescent="0.25">
      <c r="A66" t="s">
        <v>89</v>
      </c>
      <c r="B66" s="20">
        <v>7561.6</v>
      </c>
      <c r="C66" s="20">
        <v>7562.1</v>
      </c>
      <c r="D66" s="20">
        <v>7437.9</v>
      </c>
      <c r="E66" s="20">
        <v>7529.2</v>
      </c>
      <c r="F66" s="14">
        <v>-0.43</v>
      </c>
      <c r="G66" s="14">
        <v>-0.45</v>
      </c>
      <c r="H66" s="21">
        <v>1245242400</v>
      </c>
      <c r="I66" s="17"/>
      <c r="J66" s="18">
        <f t="shared" si="0"/>
        <v>-4.2848074481591919E-3</v>
      </c>
    </row>
    <row r="67" spans="1:10" x14ac:dyDescent="0.25">
      <c r="A67" t="s">
        <v>90</v>
      </c>
      <c r="B67" s="20">
        <v>7529.2</v>
      </c>
      <c r="C67" s="20">
        <v>7569.6</v>
      </c>
      <c r="D67" s="20">
        <v>7487.4</v>
      </c>
      <c r="E67" s="20">
        <v>7564.4</v>
      </c>
      <c r="F67" s="14">
        <v>0.47</v>
      </c>
      <c r="G67" s="14">
        <v>0.45</v>
      </c>
      <c r="H67" s="21">
        <v>524386200</v>
      </c>
      <c r="I67" s="17"/>
      <c r="J67" s="18">
        <f t="shared" si="0"/>
        <v>4.6751314880730784E-3</v>
      </c>
    </row>
    <row r="68" spans="1:10" x14ac:dyDescent="0.25">
      <c r="A68" t="s">
        <v>91</v>
      </c>
      <c r="B68" s="20">
        <v>7564.4</v>
      </c>
      <c r="C68" s="20">
        <v>7565</v>
      </c>
      <c r="D68" s="20">
        <v>7505.2</v>
      </c>
      <c r="E68" s="20">
        <v>7554.5</v>
      </c>
      <c r="F68" s="14">
        <v>-0.13</v>
      </c>
      <c r="G68" s="14">
        <v>-0.15</v>
      </c>
      <c r="H68" s="21">
        <v>487016200</v>
      </c>
      <c r="I68" s="17"/>
      <c r="J68" s="18">
        <f t="shared" ref="J68:J131" si="1">(E68-E67)/E67</f>
        <v>-1.3087620961344769E-3</v>
      </c>
    </row>
    <row r="69" spans="1:10" x14ac:dyDescent="0.25">
      <c r="A69" t="s">
        <v>92</v>
      </c>
      <c r="B69" s="20">
        <v>7554.5</v>
      </c>
      <c r="C69" s="20">
        <v>7554.5</v>
      </c>
      <c r="D69" s="20">
        <v>7487.5</v>
      </c>
      <c r="E69" s="20">
        <v>7527.4</v>
      </c>
      <c r="F69" s="14">
        <v>-0.36</v>
      </c>
      <c r="G69" s="14">
        <v>-0.38</v>
      </c>
      <c r="H69" s="21">
        <v>862447700</v>
      </c>
      <c r="I69" s="17"/>
      <c r="J69" s="18">
        <f t="shared" si="1"/>
        <v>-3.5872658680257282E-3</v>
      </c>
    </row>
    <row r="70" spans="1:10" x14ac:dyDescent="0.25">
      <c r="A70" t="s">
        <v>93</v>
      </c>
      <c r="B70" s="20">
        <v>7527.4</v>
      </c>
      <c r="C70" s="20">
        <v>7600.8</v>
      </c>
      <c r="D70" s="20">
        <v>7527.4</v>
      </c>
      <c r="E70" s="20">
        <v>7587.3</v>
      </c>
      <c r="F70" s="14">
        <v>0.8</v>
      </c>
      <c r="G70" s="14">
        <v>0.78</v>
      </c>
      <c r="H70" s="21">
        <v>1098862000</v>
      </c>
      <c r="I70" s="17"/>
      <c r="J70" s="18">
        <f t="shared" si="1"/>
        <v>7.9575949198927316E-3</v>
      </c>
    </row>
    <row r="71" spans="1:10" x14ac:dyDescent="0.25">
      <c r="A71" t="s">
        <v>94</v>
      </c>
      <c r="B71" s="20">
        <v>7587.3</v>
      </c>
      <c r="C71" s="20">
        <v>7622.9</v>
      </c>
      <c r="D71" s="20">
        <v>7572.6</v>
      </c>
      <c r="E71" s="20">
        <v>7618.6</v>
      </c>
      <c r="F71" s="14">
        <v>0.41</v>
      </c>
      <c r="G71" s="14">
        <v>0.39</v>
      </c>
      <c r="H71" s="21">
        <v>636901200</v>
      </c>
      <c r="I71" s="17"/>
      <c r="J71" s="18">
        <f t="shared" si="1"/>
        <v>4.1253146705679464E-3</v>
      </c>
    </row>
    <row r="72" spans="1:10" x14ac:dyDescent="0.25">
      <c r="A72" t="s">
        <v>95</v>
      </c>
      <c r="B72" s="20">
        <v>7618.6</v>
      </c>
      <c r="C72" s="20">
        <v>7618.6</v>
      </c>
      <c r="D72" s="20">
        <v>7507.8</v>
      </c>
      <c r="E72" s="20">
        <v>7524.2</v>
      </c>
      <c r="F72" s="14">
        <v>-1.24</v>
      </c>
      <c r="G72" s="14">
        <v>-1.26</v>
      </c>
      <c r="H72" s="21">
        <v>494679400</v>
      </c>
      <c r="I72" s="17"/>
      <c r="J72" s="18">
        <f t="shared" si="1"/>
        <v>-1.2390727955267442E-2</v>
      </c>
    </row>
    <row r="73" spans="1:10" x14ac:dyDescent="0.25">
      <c r="A73" t="s">
        <v>96</v>
      </c>
      <c r="B73" s="20">
        <v>7524.2</v>
      </c>
      <c r="C73" s="20">
        <v>7530.3</v>
      </c>
      <c r="D73" s="20">
        <v>7476.5</v>
      </c>
      <c r="E73" s="20">
        <v>7507.2</v>
      </c>
      <c r="F73" s="14">
        <v>-0.23</v>
      </c>
      <c r="G73" s="14">
        <v>-0.24</v>
      </c>
      <c r="H73" s="21">
        <v>1154816600</v>
      </c>
      <c r="I73" s="17"/>
      <c r="J73" s="18">
        <f t="shared" si="1"/>
        <v>-2.2593764121102578E-3</v>
      </c>
    </row>
    <row r="74" spans="1:10" x14ac:dyDescent="0.25">
      <c r="A74" t="s">
        <v>97</v>
      </c>
      <c r="B74" s="20">
        <v>7507.2</v>
      </c>
      <c r="C74" s="20">
        <v>7508.6</v>
      </c>
      <c r="D74" s="20">
        <v>7369.7</v>
      </c>
      <c r="E74" s="20">
        <v>7389.6</v>
      </c>
      <c r="F74" s="14">
        <v>-1.57</v>
      </c>
      <c r="G74" s="14">
        <v>-1.58</v>
      </c>
      <c r="H74" s="21">
        <v>463377300</v>
      </c>
      <c r="I74" s="17"/>
      <c r="J74" s="18">
        <f t="shared" si="1"/>
        <v>-1.5664961636828571E-2</v>
      </c>
    </row>
    <row r="75" spans="1:10" x14ac:dyDescent="0.25">
      <c r="A75" t="s">
        <v>98</v>
      </c>
      <c r="B75" s="20">
        <v>7389.6</v>
      </c>
      <c r="C75" s="20">
        <v>7398.2</v>
      </c>
      <c r="D75" s="20">
        <v>7338.5</v>
      </c>
      <c r="E75" s="20">
        <v>7356.9</v>
      </c>
      <c r="F75" s="14">
        <v>-0.44</v>
      </c>
      <c r="G75" s="14">
        <v>-0.46</v>
      </c>
      <c r="H75" s="21">
        <v>687073100</v>
      </c>
      <c r="I75" s="17"/>
      <c r="J75" s="18">
        <f t="shared" si="1"/>
        <v>-4.4251380318286139E-3</v>
      </c>
    </row>
    <row r="76" spans="1:10" x14ac:dyDescent="0.25">
      <c r="A76" t="s">
        <v>99</v>
      </c>
      <c r="B76" s="20">
        <v>7356.9</v>
      </c>
      <c r="C76" s="20">
        <v>7357</v>
      </c>
      <c r="D76" s="20">
        <v>7305</v>
      </c>
      <c r="E76" s="20">
        <v>7310.2</v>
      </c>
      <c r="F76" s="14">
        <v>-0.63</v>
      </c>
      <c r="G76" s="14">
        <v>-0.65</v>
      </c>
      <c r="H76" s="21">
        <v>438920000</v>
      </c>
      <c r="I76" s="17"/>
      <c r="J76" s="18">
        <f t="shared" si="1"/>
        <v>-6.3477823539805928E-3</v>
      </c>
    </row>
    <row r="77" spans="1:10" x14ac:dyDescent="0.25">
      <c r="A77" t="s">
        <v>100</v>
      </c>
      <c r="B77" s="20">
        <v>7310.2</v>
      </c>
      <c r="C77" s="20">
        <v>7310.2</v>
      </c>
      <c r="D77" s="20">
        <v>7215.8</v>
      </c>
      <c r="E77" s="20">
        <v>7262.4</v>
      </c>
      <c r="F77" s="14">
        <v>-0.65</v>
      </c>
      <c r="G77" s="14">
        <v>-0.67</v>
      </c>
      <c r="H77" s="21">
        <v>571961300</v>
      </c>
      <c r="I77" s="17"/>
      <c r="J77" s="18">
        <f t="shared" si="1"/>
        <v>-6.5388087877212911E-3</v>
      </c>
    </row>
    <row r="78" spans="1:10" x14ac:dyDescent="0.25">
      <c r="A78" t="s">
        <v>101</v>
      </c>
      <c r="B78" s="20">
        <v>7262.4</v>
      </c>
      <c r="C78" s="20">
        <v>7316</v>
      </c>
      <c r="D78" s="20">
        <v>7250.9</v>
      </c>
      <c r="E78" s="20">
        <v>7257.8</v>
      </c>
      <c r="F78" s="14">
        <v>-0.06</v>
      </c>
      <c r="G78" s="14">
        <v>-0.08</v>
      </c>
      <c r="H78" s="21">
        <v>469504000</v>
      </c>
      <c r="I78" s="17"/>
      <c r="J78" s="18">
        <f t="shared" si="1"/>
        <v>-6.3339942718652984E-4</v>
      </c>
    </row>
    <row r="79" spans="1:10" x14ac:dyDescent="0.25">
      <c r="A79" t="s">
        <v>102</v>
      </c>
      <c r="B79" s="20">
        <v>7257.8</v>
      </c>
      <c r="C79" s="20">
        <v>7310.5</v>
      </c>
      <c r="D79" s="20">
        <v>7257.6</v>
      </c>
      <c r="E79" s="20">
        <v>7270.8</v>
      </c>
      <c r="F79" s="14">
        <v>0.18</v>
      </c>
      <c r="G79" s="14">
        <v>0.16</v>
      </c>
      <c r="H79" s="21">
        <v>747925500</v>
      </c>
      <c r="I79" s="17"/>
      <c r="J79" s="18">
        <f t="shared" si="1"/>
        <v>1.7911763895395298E-3</v>
      </c>
    </row>
    <row r="80" spans="1:10" x14ac:dyDescent="0.25">
      <c r="A80" t="s">
        <v>103</v>
      </c>
      <c r="B80" s="20">
        <v>7270.8</v>
      </c>
      <c r="C80" s="20">
        <v>7348.8</v>
      </c>
      <c r="D80" s="20">
        <v>7270.8</v>
      </c>
      <c r="E80" s="20">
        <v>7320.5</v>
      </c>
      <c r="F80" s="14">
        <v>0.68</v>
      </c>
      <c r="G80" s="14">
        <v>0.67</v>
      </c>
      <c r="H80" s="21">
        <v>909639000</v>
      </c>
      <c r="I80" s="17"/>
      <c r="J80" s="18">
        <f t="shared" si="1"/>
        <v>6.8355614237772758E-3</v>
      </c>
    </row>
    <row r="81" spans="1:10" x14ac:dyDescent="0.25">
      <c r="A81" t="s">
        <v>104</v>
      </c>
      <c r="B81" s="20">
        <v>7320.5</v>
      </c>
      <c r="C81" s="20">
        <v>7386.1</v>
      </c>
      <c r="D81" s="20">
        <v>7320.5</v>
      </c>
      <c r="E81" s="20">
        <v>7333.6</v>
      </c>
      <c r="F81" s="14">
        <v>0.18</v>
      </c>
      <c r="G81" s="14">
        <v>0.16</v>
      </c>
      <c r="H81" s="21">
        <v>377395800</v>
      </c>
      <c r="I81" s="17"/>
      <c r="J81" s="18">
        <f t="shared" si="1"/>
        <v>1.7894952530565348E-3</v>
      </c>
    </row>
    <row r="82" spans="1:10" x14ac:dyDescent="0.25">
      <c r="A82" t="s">
        <v>105</v>
      </c>
      <c r="B82" s="20">
        <v>7333.6</v>
      </c>
      <c r="C82" s="20">
        <v>7389.4</v>
      </c>
      <c r="D82" s="20">
        <v>7327</v>
      </c>
      <c r="E82" s="20">
        <v>7338.6</v>
      </c>
      <c r="F82" s="14">
        <v>7.0000000000000007E-2</v>
      </c>
      <c r="G82" s="14">
        <v>0.05</v>
      </c>
      <c r="H82" s="21">
        <v>372649700</v>
      </c>
      <c r="I82" s="17"/>
      <c r="J82" s="18">
        <f t="shared" si="1"/>
        <v>6.81793389331297E-4</v>
      </c>
    </row>
    <row r="83" spans="1:10" x14ac:dyDescent="0.25">
      <c r="A83" t="s">
        <v>106</v>
      </c>
      <c r="B83" s="20">
        <v>7338.6</v>
      </c>
      <c r="C83" s="20">
        <v>7471.1</v>
      </c>
      <c r="D83" s="20">
        <v>7338.6</v>
      </c>
      <c r="E83" s="20">
        <v>7465</v>
      </c>
      <c r="F83" s="14">
        <v>1.72</v>
      </c>
      <c r="G83" s="14">
        <v>1.7</v>
      </c>
      <c r="H83" s="21">
        <v>1139311100</v>
      </c>
      <c r="I83" s="17"/>
      <c r="J83" s="18">
        <f t="shared" si="1"/>
        <v>1.7223993677268092E-2</v>
      </c>
    </row>
    <row r="84" spans="1:10" x14ac:dyDescent="0.25">
      <c r="A84" t="s">
        <v>107</v>
      </c>
      <c r="B84" s="20">
        <v>7465</v>
      </c>
      <c r="C84" s="20">
        <v>7509.4</v>
      </c>
      <c r="D84" s="20">
        <v>7464.7</v>
      </c>
      <c r="E84" s="20">
        <v>7473.7</v>
      </c>
      <c r="F84" s="14">
        <v>0.12</v>
      </c>
      <c r="G84" s="14">
        <v>0.1</v>
      </c>
      <c r="H84" s="21">
        <v>536689700</v>
      </c>
      <c r="I84" s="17"/>
      <c r="J84" s="18">
        <f t="shared" si="1"/>
        <v>1.165438713998636E-3</v>
      </c>
    </row>
    <row r="85" spans="1:10" x14ac:dyDescent="0.25">
      <c r="A85" t="s">
        <v>108</v>
      </c>
      <c r="B85" s="20">
        <v>7473.7</v>
      </c>
      <c r="C85" s="20">
        <v>7500.4</v>
      </c>
      <c r="D85" s="20">
        <v>7439.1</v>
      </c>
      <c r="E85" s="20">
        <v>7439.1</v>
      </c>
      <c r="F85" s="14">
        <v>-0.46</v>
      </c>
      <c r="G85" s="14">
        <v>-0.48</v>
      </c>
      <c r="H85" s="21">
        <v>1143207100</v>
      </c>
      <c r="I85" s="17"/>
      <c r="J85" s="18">
        <f t="shared" si="1"/>
        <v>-4.6295676840118621E-3</v>
      </c>
    </row>
    <row r="86" spans="1:10" x14ac:dyDescent="0.25">
      <c r="A86" t="s">
        <v>109</v>
      </c>
      <c r="B86" s="20">
        <v>7439.1</v>
      </c>
      <c r="C86" s="20">
        <v>7492.6</v>
      </c>
      <c r="D86" s="20">
        <v>7439.1</v>
      </c>
      <c r="E86" s="20">
        <v>7464.5</v>
      </c>
      <c r="F86" s="14">
        <v>0.34</v>
      </c>
      <c r="G86" s="14">
        <v>0.32</v>
      </c>
      <c r="H86" s="21">
        <v>683056600</v>
      </c>
      <c r="I86" s="17"/>
      <c r="J86" s="18">
        <f t="shared" si="1"/>
        <v>3.4143915258565733E-3</v>
      </c>
    </row>
    <row r="87" spans="1:10" x14ac:dyDescent="0.25">
      <c r="A87" t="s">
        <v>110</v>
      </c>
      <c r="B87" s="20">
        <v>7464.5</v>
      </c>
      <c r="C87" s="20">
        <v>7523.4</v>
      </c>
      <c r="D87" s="20">
        <v>7448.3</v>
      </c>
      <c r="E87" s="20">
        <v>7452.8</v>
      </c>
      <c r="F87" s="14">
        <v>-0.16</v>
      </c>
      <c r="G87" s="14">
        <v>-0.17</v>
      </c>
      <c r="H87" s="21">
        <v>391662300</v>
      </c>
      <c r="I87" s="17"/>
      <c r="J87" s="18">
        <f t="shared" si="1"/>
        <v>-1.567419117154507E-3</v>
      </c>
    </row>
    <row r="88" spans="1:10" x14ac:dyDescent="0.25">
      <c r="A88" t="s">
        <v>111</v>
      </c>
      <c r="B88" s="20">
        <v>7452.8</v>
      </c>
      <c r="C88" s="20">
        <v>7481.4</v>
      </c>
      <c r="D88" s="20">
        <v>7389.8</v>
      </c>
      <c r="E88" s="20">
        <v>7437.9</v>
      </c>
      <c r="F88" s="14">
        <v>-0.2</v>
      </c>
      <c r="G88" s="14">
        <v>-0.22</v>
      </c>
      <c r="H88" s="21">
        <v>484546800</v>
      </c>
      <c r="I88" s="17"/>
      <c r="J88" s="18">
        <f t="shared" si="1"/>
        <v>-1.9992486045513828E-3</v>
      </c>
    </row>
    <row r="89" spans="1:10" x14ac:dyDescent="0.25">
      <c r="A89" t="s">
        <v>112</v>
      </c>
      <c r="B89" s="20">
        <v>7437.9</v>
      </c>
      <c r="C89" s="20">
        <v>7447.9</v>
      </c>
      <c r="D89" s="20">
        <v>7369.6</v>
      </c>
      <c r="E89" s="20">
        <v>7426.1</v>
      </c>
      <c r="F89" s="14">
        <v>-0.16</v>
      </c>
      <c r="G89" s="14">
        <v>-0.18</v>
      </c>
      <c r="H89" s="21">
        <v>448751100</v>
      </c>
      <c r="I89" s="17"/>
      <c r="J89" s="18">
        <f t="shared" si="1"/>
        <v>-1.5864692991300331E-3</v>
      </c>
    </row>
    <row r="90" spans="1:10" x14ac:dyDescent="0.25">
      <c r="A90" t="s">
        <v>113</v>
      </c>
      <c r="B90" s="20">
        <v>7426.1</v>
      </c>
      <c r="C90" s="20">
        <v>7462.2</v>
      </c>
      <c r="D90" s="20">
        <v>7385.9</v>
      </c>
      <c r="E90" s="20">
        <v>7441.7</v>
      </c>
      <c r="F90" s="14">
        <v>0.21</v>
      </c>
      <c r="G90" s="14">
        <v>0.19</v>
      </c>
      <c r="H90" s="21">
        <v>456225400</v>
      </c>
      <c r="I90" s="17"/>
      <c r="J90" s="18">
        <f t="shared" si="1"/>
        <v>2.1006988863601964E-3</v>
      </c>
    </row>
    <row r="91" spans="1:10" x14ac:dyDescent="0.25">
      <c r="A91" t="s">
        <v>114</v>
      </c>
      <c r="B91" s="20">
        <v>7441.7</v>
      </c>
      <c r="C91" s="20">
        <v>7480.6</v>
      </c>
      <c r="D91" s="20">
        <v>7402.1</v>
      </c>
      <c r="E91" s="20">
        <v>7478.2</v>
      </c>
      <c r="F91" s="14">
        <v>0.49</v>
      </c>
      <c r="G91" s="14">
        <v>0.47</v>
      </c>
      <c r="H91" s="21">
        <v>651366100</v>
      </c>
      <c r="I91" s="17"/>
      <c r="J91" s="18">
        <f t="shared" si="1"/>
        <v>4.90479325960466E-3</v>
      </c>
    </row>
    <row r="92" spans="1:10" x14ac:dyDescent="0.25">
      <c r="A92" t="s">
        <v>115</v>
      </c>
      <c r="B92" s="20">
        <v>7478.2</v>
      </c>
      <c r="C92" s="20">
        <v>7549.3</v>
      </c>
      <c r="D92" s="20">
        <v>7467.4</v>
      </c>
      <c r="E92" s="20">
        <v>7496.9</v>
      </c>
      <c r="F92" s="14">
        <v>0.25</v>
      </c>
      <c r="G92" s="14">
        <v>0.23</v>
      </c>
      <c r="H92" s="21">
        <v>568717300</v>
      </c>
      <c r="I92" s="17"/>
      <c r="J92" s="18">
        <f t="shared" si="1"/>
        <v>2.50060174908398E-3</v>
      </c>
    </row>
    <row r="93" spans="1:10" x14ac:dyDescent="0.25">
      <c r="A93" t="s">
        <v>116</v>
      </c>
      <c r="B93" s="20">
        <v>7496.9</v>
      </c>
      <c r="C93" s="20">
        <v>7550.2</v>
      </c>
      <c r="D93" s="20">
        <v>7496.3</v>
      </c>
      <c r="E93" s="20">
        <v>7527.5</v>
      </c>
      <c r="F93" s="14">
        <v>0.41</v>
      </c>
      <c r="G93" s="14">
        <v>0.39</v>
      </c>
      <c r="H93" s="21">
        <v>670632100</v>
      </c>
      <c r="I93" s="17"/>
      <c r="J93" s="18">
        <f t="shared" si="1"/>
        <v>4.081687097333613E-3</v>
      </c>
    </row>
    <row r="94" spans="1:10" x14ac:dyDescent="0.25">
      <c r="A94" t="s">
        <v>117</v>
      </c>
      <c r="B94" s="20">
        <v>7527.5</v>
      </c>
      <c r="C94" s="20">
        <v>7545.2</v>
      </c>
      <c r="D94" s="20">
        <v>7490.4</v>
      </c>
      <c r="E94" s="20">
        <v>7526</v>
      </c>
      <c r="F94" s="14">
        <v>-0.02</v>
      </c>
      <c r="G94" s="14">
        <v>-0.04</v>
      </c>
      <c r="H94" s="21">
        <v>684595300</v>
      </c>
      <c r="I94" s="17"/>
      <c r="J94" s="18">
        <f t="shared" si="1"/>
        <v>-1.9926934573231484E-4</v>
      </c>
    </row>
    <row r="95" spans="1:10" x14ac:dyDescent="0.25">
      <c r="A95" t="s">
        <v>118</v>
      </c>
      <c r="B95" s="20">
        <v>7526</v>
      </c>
      <c r="C95" s="20">
        <v>7687</v>
      </c>
      <c r="D95" s="20">
        <v>7526</v>
      </c>
      <c r="E95" s="20">
        <v>7673.1</v>
      </c>
      <c r="F95" s="14">
        <v>1.95</v>
      </c>
      <c r="G95" s="14">
        <v>1.94</v>
      </c>
      <c r="H95" s="21">
        <v>746569800</v>
      </c>
      <c r="I95" s="17"/>
      <c r="J95" s="18">
        <f t="shared" si="1"/>
        <v>1.9545575338825453E-2</v>
      </c>
    </row>
    <row r="96" spans="1:10" x14ac:dyDescent="0.25">
      <c r="A96" t="s">
        <v>119</v>
      </c>
      <c r="B96" s="20">
        <v>7673.1</v>
      </c>
      <c r="C96" s="20">
        <v>7745.8</v>
      </c>
      <c r="D96" s="20">
        <v>7673.1</v>
      </c>
      <c r="E96" s="20">
        <v>7711.4</v>
      </c>
      <c r="F96" s="14">
        <v>0.5</v>
      </c>
      <c r="G96" s="14">
        <v>0.48</v>
      </c>
      <c r="H96" s="21">
        <v>1804599000</v>
      </c>
      <c r="I96" s="17"/>
      <c r="J96" s="18">
        <f t="shared" si="1"/>
        <v>4.9914636848209029E-3</v>
      </c>
    </row>
    <row r="97" spans="1:10" x14ac:dyDescent="0.25">
      <c r="A97" t="s">
        <v>120</v>
      </c>
      <c r="B97" s="20">
        <v>7711.4</v>
      </c>
      <c r="C97" s="20">
        <v>7720.1</v>
      </c>
      <c r="D97" s="20">
        <v>7641.8</v>
      </c>
      <c r="E97" s="20">
        <v>7652.9</v>
      </c>
      <c r="F97" s="14">
        <v>-0.76</v>
      </c>
      <c r="G97" s="14">
        <v>-0.78</v>
      </c>
      <c r="H97" s="21">
        <v>463379300</v>
      </c>
      <c r="I97" s="17"/>
      <c r="J97" s="18">
        <f t="shared" si="1"/>
        <v>-7.5861711232720393E-3</v>
      </c>
    </row>
    <row r="98" spans="1:10" x14ac:dyDescent="0.25">
      <c r="A98" t="s">
        <v>121</v>
      </c>
      <c r="B98" s="20">
        <v>7652.9</v>
      </c>
      <c r="C98" s="20">
        <v>7682.4</v>
      </c>
      <c r="D98" s="20">
        <v>7642.4</v>
      </c>
      <c r="E98" s="20">
        <v>7660.2</v>
      </c>
      <c r="F98" s="14">
        <v>0.1</v>
      </c>
      <c r="G98" s="14">
        <v>0.08</v>
      </c>
      <c r="H98" s="21">
        <v>595546000</v>
      </c>
      <c r="I98" s="17"/>
      <c r="J98" s="18">
        <f t="shared" si="1"/>
        <v>9.5388676188114079E-4</v>
      </c>
    </row>
    <row r="99" spans="1:10" x14ac:dyDescent="0.25">
      <c r="A99" t="s">
        <v>122</v>
      </c>
      <c r="B99" s="20">
        <v>7660.2</v>
      </c>
      <c r="C99" s="20">
        <v>7741.9</v>
      </c>
      <c r="D99" s="20">
        <v>7659.6</v>
      </c>
      <c r="E99" s="20">
        <v>7731.7</v>
      </c>
      <c r="F99" s="14">
        <v>0.93</v>
      </c>
      <c r="G99" s="14">
        <v>0.92</v>
      </c>
      <c r="H99" s="21">
        <v>806482700</v>
      </c>
      <c r="I99" s="17"/>
      <c r="J99" s="18">
        <f t="shared" si="1"/>
        <v>9.3339599488264022E-3</v>
      </c>
    </row>
    <row r="100" spans="1:10" x14ac:dyDescent="0.25">
      <c r="A100" t="s">
        <v>123</v>
      </c>
      <c r="B100" s="20">
        <v>7731.7</v>
      </c>
      <c r="C100" s="20">
        <v>7746.5</v>
      </c>
      <c r="D100" s="20">
        <v>7674.7</v>
      </c>
      <c r="E100" s="20">
        <v>7678.6</v>
      </c>
      <c r="F100" s="14">
        <v>-0.69</v>
      </c>
      <c r="G100" s="14">
        <v>-0.7</v>
      </c>
      <c r="H100" s="21">
        <v>1000693700</v>
      </c>
      <c r="I100" s="17"/>
      <c r="J100" s="18">
        <f t="shared" si="1"/>
        <v>-6.8678298433720213E-3</v>
      </c>
    </row>
    <row r="101" spans="1:10" x14ac:dyDescent="0.25">
      <c r="A101" t="s">
        <v>124</v>
      </c>
      <c r="B101" s="20">
        <v>7678.6</v>
      </c>
      <c r="C101" s="20">
        <v>7735.2</v>
      </c>
      <c r="D101" s="20">
        <v>7640.8</v>
      </c>
      <c r="E101" s="20">
        <v>7683.9</v>
      </c>
      <c r="F101" s="14">
        <v>7.0000000000000007E-2</v>
      </c>
      <c r="G101" s="14">
        <v>0.05</v>
      </c>
      <c r="H101" s="21">
        <v>989687600</v>
      </c>
      <c r="I101" s="17"/>
      <c r="J101" s="18">
        <f t="shared" si="1"/>
        <v>6.9022998984180346E-4</v>
      </c>
    </row>
    <row r="102" spans="1:10" x14ac:dyDescent="0.25">
      <c r="A102" t="s">
        <v>125</v>
      </c>
      <c r="B102" s="20">
        <v>7683.9</v>
      </c>
      <c r="C102" s="20">
        <v>7684.8</v>
      </c>
      <c r="D102" s="20">
        <v>7580.8</v>
      </c>
      <c r="E102" s="20">
        <v>7624</v>
      </c>
      <c r="F102" s="14">
        <v>-0.78</v>
      </c>
      <c r="G102" s="14">
        <v>-0.8</v>
      </c>
      <c r="H102" s="21">
        <v>541205000</v>
      </c>
      <c r="I102" s="17"/>
      <c r="J102" s="18">
        <f t="shared" si="1"/>
        <v>-7.7955205039107276E-3</v>
      </c>
    </row>
    <row r="103" spans="1:10" x14ac:dyDescent="0.25">
      <c r="A103" t="s">
        <v>126</v>
      </c>
      <c r="B103" s="20">
        <v>7624</v>
      </c>
      <c r="C103" s="20">
        <v>7656.9</v>
      </c>
      <c r="D103" s="20">
        <v>7593.5</v>
      </c>
      <c r="E103" s="20">
        <v>7625.7</v>
      </c>
      <c r="F103" s="14">
        <v>0.02</v>
      </c>
      <c r="G103" s="14">
        <v>0</v>
      </c>
      <c r="H103" s="21">
        <v>546325000</v>
      </c>
      <c r="I103" s="17"/>
      <c r="J103" s="18">
        <f t="shared" si="1"/>
        <v>2.2298006295905275E-4</v>
      </c>
    </row>
    <row r="104" spans="1:10" x14ac:dyDescent="0.25">
      <c r="A104" t="s">
        <v>127</v>
      </c>
      <c r="B104" s="20">
        <v>7625.7</v>
      </c>
      <c r="C104" s="20">
        <v>7645.6</v>
      </c>
      <c r="D104" s="20">
        <v>7577.2</v>
      </c>
      <c r="E104" s="20">
        <v>7593.2</v>
      </c>
      <c r="F104" s="14">
        <v>-0.43</v>
      </c>
      <c r="G104" s="14">
        <v>-0.44</v>
      </c>
      <c r="H104" s="21">
        <v>711885200</v>
      </c>
      <c r="I104" s="17"/>
      <c r="J104" s="18">
        <f t="shared" si="1"/>
        <v>-4.261903825222603E-3</v>
      </c>
    </row>
    <row r="105" spans="1:10" x14ac:dyDescent="0.25">
      <c r="A105" t="s">
        <v>128</v>
      </c>
      <c r="B105" s="20">
        <v>7593.2</v>
      </c>
      <c r="C105" s="20">
        <v>7605.6</v>
      </c>
      <c r="D105" s="20">
        <v>7524.1</v>
      </c>
      <c r="E105" s="20">
        <v>7601.9</v>
      </c>
      <c r="F105" s="14">
        <v>0.11</v>
      </c>
      <c r="G105" s="14">
        <v>0.1</v>
      </c>
      <c r="H105" s="21">
        <v>642160800</v>
      </c>
      <c r="I105" s="17"/>
      <c r="J105" s="18">
        <f t="shared" si="1"/>
        <v>1.1457619975767553E-3</v>
      </c>
    </row>
    <row r="106" spans="1:10" x14ac:dyDescent="0.25">
      <c r="A106" t="s">
        <v>129</v>
      </c>
      <c r="B106" s="20">
        <v>7601.9</v>
      </c>
      <c r="C106" s="20">
        <v>7674.2</v>
      </c>
      <c r="D106" s="20">
        <v>7601.9</v>
      </c>
      <c r="E106" s="20">
        <v>7608.1</v>
      </c>
      <c r="F106" s="14">
        <v>0.08</v>
      </c>
      <c r="G106" s="14">
        <v>0.06</v>
      </c>
      <c r="H106" s="21">
        <v>634751900</v>
      </c>
      <c r="I106" s="17"/>
      <c r="J106" s="18">
        <f t="shared" si="1"/>
        <v>8.1558557728998379E-4</v>
      </c>
    </row>
    <row r="107" spans="1:10" x14ac:dyDescent="0.25">
      <c r="A107" t="s">
        <v>130</v>
      </c>
      <c r="B107" s="20">
        <v>7608.1</v>
      </c>
      <c r="C107" s="20">
        <v>7630.4</v>
      </c>
      <c r="D107" s="20">
        <v>7491.3</v>
      </c>
      <c r="E107" s="20">
        <v>7510.7</v>
      </c>
      <c r="F107" s="14">
        <v>-1.28</v>
      </c>
      <c r="G107" s="14">
        <v>-1.3</v>
      </c>
      <c r="H107" s="21">
        <v>570804100</v>
      </c>
      <c r="I107" s="17"/>
      <c r="J107" s="18">
        <f t="shared" si="1"/>
        <v>-1.2802145082215079E-2</v>
      </c>
    </row>
    <row r="108" spans="1:10" x14ac:dyDescent="0.25">
      <c r="A108" t="s">
        <v>131</v>
      </c>
      <c r="B108" s="20">
        <v>7510.7</v>
      </c>
      <c r="C108" s="20">
        <v>7545.7</v>
      </c>
      <c r="D108" s="20">
        <v>7466.6</v>
      </c>
      <c r="E108" s="20">
        <v>7470.2</v>
      </c>
      <c r="F108" s="14">
        <v>-0.54</v>
      </c>
      <c r="G108" s="14">
        <v>-0.56000000000000005</v>
      </c>
      <c r="H108" s="21">
        <v>540181100</v>
      </c>
      <c r="I108" s="17"/>
      <c r="J108" s="18">
        <f t="shared" si="1"/>
        <v>-5.3923069753817887E-3</v>
      </c>
    </row>
    <row r="109" spans="1:10" x14ac:dyDescent="0.25">
      <c r="A109" t="s">
        <v>132</v>
      </c>
      <c r="B109" s="20">
        <v>7470.2</v>
      </c>
      <c r="C109" s="20">
        <v>7490.2</v>
      </c>
      <c r="D109" s="20">
        <v>7384.2</v>
      </c>
      <c r="E109" s="20">
        <v>7412.5</v>
      </c>
      <c r="F109" s="14">
        <v>-0.77</v>
      </c>
      <c r="G109" s="14">
        <v>-0.79</v>
      </c>
      <c r="H109" s="21">
        <v>1085406900</v>
      </c>
      <c r="I109" s="17"/>
      <c r="J109" s="18">
        <f t="shared" si="1"/>
        <v>-7.7240234531873071E-3</v>
      </c>
    </row>
    <row r="110" spans="1:10" x14ac:dyDescent="0.25">
      <c r="A110" t="s">
        <v>133</v>
      </c>
      <c r="B110" s="20">
        <v>7412.5</v>
      </c>
      <c r="C110" s="20">
        <v>7488.6</v>
      </c>
      <c r="D110" s="20">
        <v>7409.7</v>
      </c>
      <c r="E110" s="20">
        <v>7451.5</v>
      </c>
      <c r="F110" s="14">
        <v>0.53</v>
      </c>
      <c r="G110" s="14">
        <v>0.51</v>
      </c>
      <c r="H110" s="21">
        <v>615457100</v>
      </c>
      <c r="I110" s="17"/>
      <c r="J110" s="18">
        <f t="shared" si="1"/>
        <v>5.2613827993254637E-3</v>
      </c>
    </row>
    <row r="111" spans="1:10" x14ac:dyDescent="0.25">
      <c r="A111" t="s">
        <v>134</v>
      </c>
      <c r="B111" s="20">
        <v>7451.5</v>
      </c>
      <c r="C111" s="20">
        <v>7496.4</v>
      </c>
      <c r="D111" s="20">
        <v>7423.4</v>
      </c>
      <c r="E111" s="20">
        <v>7494.6</v>
      </c>
      <c r="F111" s="14">
        <v>0.57999999999999996</v>
      </c>
      <c r="G111" s="14">
        <v>0.56000000000000005</v>
      </c>
      <c r="H111" s="21">
        <v>613195400</v>
      </c>
      <c r="I111" s="17"/>
      <c r="J111" s="18">
        <f t="shared" si="1"/>
        <v>5.7840703214118447E-3</v>
      </c>
    </row>
    <row r="112" spans="1:10" x14ac:dyDescent="0.25">
      <c r="A112" t="s">
        <v>135</v>
      </c>
      <c r="B112" s="20">
        <v>7494.6</v>
      </c>
      <c r="C112" s="20">
        <v>7540.6</v>
      </c>
      <c r="D112" s="20">
        <v>7473.2</v>
      </c>
      <c r="E112" s="20">
        <v>7492.2</v>
      </c>
      <c r="F112" s="14">
        <v>-0.03</v>
      </c>
      <c r="G112" s="14">
        <v>-0.05</v>
      </c>
      <c r="H112" s="21">
        <v>738697000</v>
      </c>
      <c r="I112" s="17"/>
      <c r="J112" s="18">
        <f t="shared" si="1"/>
        <v>-3.2023056600759823E-4</v>
      </c>
    </row>
    <row r="113" spans="1:10" x14ac:dyDescent="0.25">
      <c r="A113" t="s">
        <v>136</v>
      </c>
      <c r="B113" s="20">
        <v>7492.2</v>
      </c>
      <c r="C113" s="20">
        <v>7637.4</v>
      </c>
      <c r="D113" s="20">
        <v>7492.2</v>
      </c>
      <c r="E113" s="20">
        <v>7628.2</v>
      </c>
      <c r="F113" s="14">
        <v>1.82</v>
      </c>
      <c r="G113" s="14">
        <v>1.8</v>
      </c>
      <c r="H113" s="21">
        <v>719653800</v>
      </c>
      <c r="I113" s="17"/>
      <c r="J113" s="18">
        <f t="shared" si="1"/>
        <v>1.8152211633432103E-2</v>
      </c>
    </row>
    <row r="114" spans="1:10" x14ac:dyDescent="0.25">
      <c r="A114" t="s">
        <v>137</v>
      </c>
      <c r="B114" s="20">
        <v>7628.2</v>
      </c>
      <c r="C114" s="20">
        <v>7652</v>
      </c>
      <c r="D114" s="20">
        <v>7608.7</v>
      </c>
      <c r="E114" s="20">
        <v>7620</v>
      </c>
      <c r="F114" s="14">
        <v>-0.11</v>
      </c>
      <c r="G114" s="14">
        <v>-0.13</v>
      </c>
      <c r="H114" s="21">
        <v>630293300</v>
      </c>
      <c r="I114" s="17"/>
      <c r="J114" s="18">
        <f t="shared" si="1"/>
        <v>-1.0749587058545684E-3</v>
      </c>
    </row>
    <row r="115" spans="1:10" x14ac:dyDescent="0.25">
      <c r="A115" t="s">
        <v>138</v>
      </c>
      <c r="B115" s="20">
        <v>7620</v>
      </c>
      <c r="C115" s="20">
        <v>7687.9</v>
      </c>
      <c r="D115" s="20">
        <v>7620</v>
      </c>
      <c r="E115" s="20">
        <v>7644.8</v>
      </c>
      <c r="F115" s="14">
        <v>0.33</v>
      </c>
      <c r="G115" s="14">
        <v>0.31</v>
      </c>
      <c r="H115" s="21">
        <v>668028900</v>
      </c>
      <c r="I115" s="17"/>
      <c r="J115" s="18">
        <f t="shared" si="1"/>
        <v>3.2545931758530423E-3</v>
      </c>
    </row>
    <row r="116" spans="1:10" x14ac:dyDescent="0.25">
      <c r="A116" t="s">
        <v>139</v>
      </c>
      <c r="B116" s="20">
        <v>7644.8</v>
      </c>
      <c r="C116" s="20">
        <v>7660.1</v>
      </c>
      <c r="D116" s="20">
        <v>7590.7</v>
      </c>
      <c r="E116" s="20">
        <v>7599.6</v>
      </c>
      <c r="F116" s="14">
        <v>-0.59</v>
      </c>
      <c r="G116" s="14">
        <v>-0.61</v>
      </c>
      <c r="H116" s="21">
        <v>567783300</v>
      </c>
      <c r="I116" s="17"/>
      <c r="J116" s="18">
        <f t="shared" si="1"/>
        <v>-5.9125156969443045E-3</v>
      </c>
    </row>
    <row r="117" spans="1:10" x14ac:dyDescent="0.25">
      <c r="A117" t="s">
        <v>140</v>
      </c>
      <c r="B117" s="20">
        <v>7599.6</v>
      </c>
      <c r="C117" s="20">
        <v>7651.3</v>
      </c>
      <c r="D117" s="20">
        <v>7584.6</v>
      </c>
      <c r="E117" s="20">
        <v>7630.6</v>
      </c>
      <c r="F117" s="14">
        <v>0.41</v>
      </c>
      <c r="G117" s="14">
        <v>0.39</v>
      </c>
      <c r="H117" s="21">
        <v>558336100</v>
      </c>
      <c r="I117" s="17"/>
      <c r="J117" s="18">
        <f t="shared" si="1"/>
        <v>4.0791620611611134E-3</v>
      </c>
    </row>
    <row r="118" spans="1:10" x14ac:dyDescent="0.25">
      <c r="A118" t="s">
        <v>141</v>
      </c>
      <c r="B118" s="20">
        <v>7630.6</v>
      </c>
      <c r="C118" s="20">
        <v>7682.6</v>
      </c>
      <c r="D118" s="20">
        <v>7616.8</v>
      </c>
      <c r="E118" s="20">
        <v>7675.2</v>
      </c>
      <c r="F118" s="14">
        <v>0.57999999999999996</v>
      </c>
      <c r="G118" s="14">
        <v>0.56999999999999995</v>
      </c>
      <c r="H118" s="21">
        <v>668852200</v>
      </c>
      <c r="I118" s="17"/>
      <c r="J118" s="18">
        <f t="shared" si="1"/>
        <v>5.8448876890414194E-3</v>
      </c>
    </row>
    <row r="119" spans="1:10" x14ac:dyDescent="0.25">
      <c r="A119" t="s">
        <v>142</v>
      </c>
      <c r="B119" s="20">
        <v>7675.2</v>
      </c>
      <c r="C119" s="20">
        <v>7681.5</v>
      </c>
      <c r="D119" s="20">
        <v>7579.3</v>
      </c>
      <c r="E119" s="20">
        <v>7588</v>
      </c>
      <c r="F119" s="14">
        <v>-1.1399999999999999</v>
      </c>
      <c r="G119" s="14">
        <v>-1.1499999999999999</v>
      </c>
      <c r="H119" s="21">
        <v>613430800</v>
      </c>
      <c r="I119" s="17"/>
      <c r="J119" s="18">
        <f t="shared" si="1"/>
        <v>-1.1361267458828411E-2</v>
      </c>
    </row>
    <row r="120" spans="1:10" x14ac:dyDescent="0.25">
      <c r="A120" t="s">
        <v>143</v>
      </c>
      <c r="B120" s="20">
        <v>7588</v>
      </c>
      <c r="C120" s="20">
        <v>7588</v>
      </c>
      <c r="D120" s="20">
        <v>7490.5</v>
      </c>
      <c r="E120" s="20">
        <v>7499.5</v>
      </c>
      <c r="F120" s="14">
        <v>-1.17</v>
      </c>
      <c r="G120" s="14">
        <v>-1.18</v>
      </c>
      <c r="H120" s="21">
        <v>727252500</v>
      </c>
      <c r="I120" s="17"/>
      <c r="J120" s="18">
        <f t="shared" si="1"/>
        <v>-1.1663152345809173E-2</v>
      </c>
    </row>
    <row r="121" spans="1:10" x14ac:dyDescent="0.25">
      <c r="A121" t="s">
        <v>144</v>
      </c>
      <c r="B121" s="20">
        <v>7499.5</v>
      </c>
      <c r="C121" s="20">
        <v>7499.6</v>
      </c>
      <c r="D121" s="20">
        <v>7395.6</v>
      </c>
      <c r="E121" s="20">
        <v>7402.1</v>
      </c>
      <c r="F121" s="14">
        <v>-1.3</v>
      </c>
      <c r="G121" s="14">
        <v>-1.32</v>
      </c>
      <c r="H121" s="21">
        <v>832451800</v>
      </c>
      <c r="I121" s="17"/>
      <c r="J121" s="18">
        <f t="shared" si="1"/>
        <v>-1.2987532502166763E-2</v>
      </c>
    </row>
    <row r="122" spans="1:10" x14ac:dyDescent="0.25">
      <c r="A122" t="s">
        <v>145</v>
      </c>
      <c r="B122" s="20">
        <v>7402.1</v>
      </c>
      <c r="C122" s="20">
        <v>7402.2</v>
      </c>
      <c r="D122" s="20">
        <v>7338.6</v>
      </c>
      <c r="E122" s="20">
        <v>7374.8</v>
      </c>
      <c r="F122" s="14">
        <v>-0.37</v>
      </c>
      <c r="G122" s="14">
        <v>-0.39</v>
      </c>
      <c r="H122" s="21">
        <v>502765900</v>
      </c>
      <c r="I122" s="17"/>
      <c r="J122" s="18">
        <f t="shared" si="1"/>
        <v>-3.6881425541400656E-3</v>
      </c>
    </row>
    <row r="123" spans="1:10" x14ac:dyDescent="0.25">
      <c r="A123" t="s">
        <v>146</v>
      </c>
      <c r="B123" s="20">
        <v>7374.8</v>
      </c>
      <c r="C123" s="20">
        <v>7405.3</v>
      </c>
      <c r="D123" s="20">
        <v>7325</v>
      </c>
      <c r="E123" s="20">
        <v>7389.7</v>
      </c>
      <c r="F123" s="14">
        <v>0.2</v>
      </c>
      <c r="G123" s="14">
        <v>0.18</v>
      </c>
      <c r="H123" s="21">
        <v>699266600</v>
      </c>
      <c r="I123" s="17"/>
      <c r="J123" s="18">
        <f t="shared" si="1"/>
        <v>2.0203937733904156E-3</v>
      </c>
    </row>
    <row r="124" spans="1:10" x14ac:dyDescent="0.25">
      <c r="A124" t="s">
        <v>147</v>
      </c>
      <c r="B124" s="20">
        <v>7389.7</v>
      </c>
      <c r="C124" s="20">
        <v>7428.1</v>
      </c>
      <c r="D124" s="20">
        <v>7368.4</v>
      </c>
      <c r="E124" s="20">
        <v>7414.3</v>
      </c>
      <c r="F124" s="14">
        <v>0.33</v>
      </c>
      <c r="G124" s="14">
        <v>0.31</v>
      </c>
      <c r="H124" s="21">
        <v>681751000</v>
      </c>
      <c r="I124" s="17"/>
      <c r="J124" s="18">
        <f t="shared" si="1"/>
        <v>3.3289578737973617E-3</v>
      </c>
    </row>
    <row r="125" spans="1:10" x14ac:dyDescent="0.25">
      <c r="A125" t="s">
        <v>148</v>
      </c>
      <c r="B125" s="20">
        <v>7414.3</v>
      </c>
      <c r="C125" s="20">
        <v>7414.3</v>
      </c>
      <c r="D125" s="20">
        <v>7342.5</v>
      </c>
      <c r="E125" s="20">
        <v>7354.6</v>
      </c>
      <c r="F125" s="14">
        <v>-0.81</v>
      </c>
      <c r="G125" s="14">
        <v>-0.82</v>
      </c>
      <c r="H125" s="21">
        <v>796762900</v>
      </c>
      <c r="I125" s="17"/>
      <c r="J125" s="18">
        <f t="shared" si="1"/>
        <v>-8.052007606921735E-3</v>
      </c>
    </row>
    <row r="126" spans="1:10" x14ac:dyDescent="0.25">
      <c r="A126" t="s">
        <v>149</v>
      </c>
      <c r="B126" s="20">
        <v>7354.6</v>
      </c>
      <c r="C126" s="20">
        <v>7380.3</v>
      </c>
      <c r="D126" s="20">
        <v>7279.9</v>
      </c>
      <c r="E126" s="20">
        <v>7291.3</v>
      </c>
      <c r="F126" s="14">
        <v>-0.86</v>
      </c>
      <c r="G126" s="14">
        <v>-0.88</v>
      </c>
      <c r="H126" s="21">
        <v>642603800</v>
      </c>
      <c r="I126" s="17"/>
      <c r="J126" s="18">
        <f t="shared" si="1"/>
        <v>-8.6068582927691754E-3</v>
      </c>
    </row>
    <row r="127" spans="1:10" x14ac:dyDescent="0.25">
      <c r="A127" t="s">
        <v>150</v>
      </c>
      <c r="B127" s="20">
        <v>7291.3</v>
      </c>
      <c r="C127" s="20">
        <v>7361.5</v>
      </c>
      <c r="D127" s="20">
        <v>7291.3</v>
      </c>
      <c r="E127" s="20">
        <v>7327.4</v>
      </c>
      <c r="F127" s="14">
        <v>0.5</v>
      </c>
      <c r="G127" s="14">
        <v>0.48</v>
      </c>
      <c r="H127" s="21">
        <v>1011063900</v>
      </c>
      <c r="I127" s="17"/>
      <c r="J127" s="18">
        <f t="shared" si="1"/>
        <v>4.9511061127644525E-3</v>
      </c>
    </row>
    <row r="128" spans="1:10" x14ac:dyDescent="0.25">
      <c r="A128" t="s">
        <v>151</v>
      </c>
      <c r="B128" s="20">
        <v>7327.4</v>
      </c>
      <c r="C128" s="20">
        <v>7373.5</v>
      </c>
      <c r="D128" s="20">
        <v>7309</v>
      </c>
      <c r="E128" s="20">
        <v>7321.7</v>
      </c>
      <c r="F128" s="14">
        <v>-0.08</v>
      </c>
      <c r="G128" s="14">
        <v>-0.1</v>
      </c>
      <c r="H128" s="21">
        <v>809030400</v>
      </c>
      <c r="I128" s="17"/>
      <c r="J128" s="18">
        <f t="shared" si="1"/>
        <v>-7.7790212080680989E-4</v>
      </c>
    </row>
    <row r="129" spans="1:10" x14ac:dyDescent="0.25">
      <c r="A129" t="s">
        <v>152</v>
      </c>
      <c r="B129" s="20">
        <v>7321.7</v>
      </c>
      <c r="C129" s="20">
        <v>7385.4</v>
      </c>
      <c r="D129" s="20">
        <v>7304.9</v>
      </c>
      <c r="E129" s="20">
        <v>7342.4</v>
      </c>
      <c r="F129" s="14">
        <v>0.28000000000000003</v>
      </c>
      <c r="G129" s="14">
        <v>0.26</v>
      </c>
      <c r="H129" s="21">
        <v>764584800</v>
      </c>
      <c r="I129" s="17"/>
      <c r="J129" s="18">
        <f t="shared" si="1"/>
        <v>2.8272122594479175E-3</v>
      </c>
    </row>
    <row r="130" spans="1:10" x14ac:dyDescent="0.25">
      <c r="A130" t="s">
        <v>153</v>
      </c>
      <c r="B130" s="20">
        <v>7342.4</v>
      </c>
      <c r="C130" s="20">
        <v>7469.8</v>
      </c>
      <c r="D130" s="20">
        <v>7342.4</v>
      </c>
      <c r="E130" s="20">
        <v>7446.5</v>
      </c>
      <c r="F130" s="14">
        <v>1.42</v>
      </c>
      <c r="G130" s="14">
        <v>1.4</v>
      </c>
      <c r="H130" s="21">
        <v>978092600</v>
      </c>
      <c r="I130" s="17"/>
      <c r="J130" s="18">
        <f t="shared" si="1"/>
        <v>1.4177925473959518E-2</v>
      </c>
    </row>
    <row r="131" spans="1:10" x14ac:dyDescent="0.25">
      <c r="A131" t="s">
        <v>154</v>
      </c>
      <c r="B131" s="20">
        <v>7446.5</v>
      </c>
      <c r="C131" s="20">
        <v>7482.7</v>
      </c>
      <c r="D131" s="20">
        <v>7396.6</v>
      </c>
      <c r="E131" s="20">
        <v>7417.7</v>
      </c>
      <c r="F131" s="14">
        <v>-0.39</v>
      </c>
      <c r="G131" s="14">
        <v>-0.4</v>
      </c>
      <c r="H131" s="21">
        <v>750991900</v>
      </c>
      <c r="I131" s="17"/>
      <c r="J131" s="18">
        <f t="shared" si="1"/>
        <v>-3.8675888001074576E-3</v>
      </c>
    </row>
    <row r="132" spans="1:10" x14ac:dyDescent="0.25">
      <c r="A132" t="s">
        <v>155</v>
      </c>
      <c r="B132" s="20">
        <v>7417.7</v>
      </c>
      <c r="C132" s="20">
        <v>7448.4</v>
      </c>
      <c r="D132" s="20">
        <v>7403.5</v>
      </c>
      <c r="E132" s="20">
        <v>7417.8</v>
      </c>
      <c r="F132" s="14">
        <v>0</v>
      </c>
      <c r="G132" s="14">
        <v>-0.02</v>
      </c>
      <c r="H132" s="21">
        <v>781306000</v>
      </c>
      <c r="I132" s="17"/>
      <c r="J132" s="18">
        <f t="shared" ref="J132:J195" si="2">(E132-E131)/E131</f>
        <v>1.3481267778470928E-5</v>
      </c>
    </row>
    <row r="133" spans="1:10" x14ac:dyDescent="0.25">
      <c r="A133" t="s">
        <v>156</v>
      </c>
      <c r="B133" s="20">
        <v>7417.8</v>
      </c>
      <c r="C133" s="20">
        <v>7431.1</v>
      </c>
      <c r="D133" s="20">
        <v>7397.4</v>
      </c>
      <c r="E133" s="20">
        <v>7410</v>
      </c>
      <c r="F133" s="14">
        <v>-0.11</v>
      </c>
      <c r="G133" s="14">
        <v>-0.12</v>
      </c>
      <c r="H133" s="21">
        <v>592558500</v>
      </c>
      <c r="I133" s="17"/>
      <c r="J133" s="18">
        <f t="shared" si="2"/>
        <v>-1.051524710830729E-3</v>
      </c>
    </row>
    <row r="134" spans="1:10" x14ac:dyDescent="0.25">
      <c r="A134" t="s">
        <v>157</v>
      </c>
      <c r="B134" s="20">
        <v>7410</v>
      </c>
      <c r="C134" s="20">
        <v>7442.1</v>
      </c>
      <c r="D134" s="20">
        <v>7384.5</v>
      </c>
      <c r="E134" s="20">
        <v>7401.7</v>
      </c>
      <c r="F134" s="14">
        <v>-0.11</v>
      </c>
      <c r="G134" s="14">
        <v>-0.13</v>
      </c>
      <c r="H134" s="21">
        <v>686578900</v>
      </c>
      <c r="I134" s="17"/>
      <c r="J134" s="18">
        <f t="shared" si="2"/>
        <v>-1.12010796221325E-3</v>
      </c>
    </row>
    <row r="135" spans="1:10" x14ac:dyDescent="0.25">
      <c r="A135" t="s">
        <v>158</v>
      </c>
      <c r="B135" s="20">
        <v>7401.7</v>
      </c>
      <c r="C135" s="20">
        <v>7465.3</v>
      </c>
      <c r="D135" s="20">
        <v>7367.2</v>
      </c>
      <c r="E135" s="20">
        <v>7455.7</v>
      </c>
      <c r="F135" s="14">
        <v>0.73</v>
      </c>
      <c r="G135" s="14">
        <v>0.71</v>
      </c>
      <c r="H135" s="21">
        <v>657728700</v>
      </c>
      <c r="I135" s="17"/>
      <c r="J135" s="18">
        <f t="shared" si="2"/>
        <v>7.2956212761933073E-3</v>
      </c>
    </row>
    <row r="136" spans="1:10" x14ac:dyDescent="0.25">
      <c r="A136" t="s">
        <v>159</v>
      </c>
      <c r="B136" s="20">
        <v>7455.7</v>
      </c>
      <c r="C136" s="20">
        <v>7455.7</v>
      </c>
      <c r="D136" s="20">
        <v>7320</v>
      </c>
      <c r="E136" s="20">
        <v>7360.6</v>
      </c>
      <c r="F136" s="14">
        <v>-1.28</v>
      </c>
      <c r="G136" s="14">
        <v>-1.29</v>
      </c>
      <c r="H136" s="21">
        <v>837842200</v>
      </c>
      <c r="I136" s="17"/>
      <c r="J136" s="18">
        <f t="shared" si="2"/>
        <v>-1.2755341550759748E-2</v>
      </c>
    </row>
    <row r="137" spans="1:10" x14ac:dyDescent="0.25">
      <c r="A137" t="s">
        <v>160</v>
      </c>
      <c r="B137" s="20">
        <v>7360.6</v>
      </c>
      <c r="C137" s="20">
        <v>7426.1</v>
      </c>
      <c r="D137" s="20">
        <v>7360.6</v>
      </c>
      <c r="E137" s="20">
        <v>7425.8</v>
      </c>
      <c r="F137" s="14">
        <v>0.89</v>
      </c>
      <c r="G137" s="14">
        <v>0.87</v>
      </c>
      <c r="H137" s="21">
        <v>649108100</v>
      </c>
      <c r="I137" s="17"/>
      <c r="J137" s="18">
        <f t="shared" si="2"/>
        <v>8.8579735347661618E-3</v>
      </c>
    </row>
    <row r="138" spans="1:10" x14ac:dyDescent="0.25">
      <c r="A138" t="s">
        <v>161</v>
      </c>
      <c r="B138" s="20">
        <v>7425.8</v>
      </c>
      <c r="C138" s="20">
        <v>7456.6</v>
      </c>
      <c r="D138" s="20">
        <v>7386.7</v>
      </c>
      <c r="E138" s="20">
        <v>7440.5</v>
      </c>
      <c r="F138" s="14">
        <v>0.2</v>
      </c>
      <c r="G138" s="14">
        <v>0.18</v>
      </c>
      <c r="H138" s="21">
        <v>934829500</v>
      </c>
      <c r="I138" s="17"/>
      <c r="J138" s="18">
        <f t="shared" si="2"/>
        <v>1.9795846912116968E-3</v>
      </c>
    </row>
    <row r="139" spans="1:10" x14ac:dyDescent="0.25">
      <c r="A139" t="s">
        <v>162</v>
      </c>
      <c r="B139" s="20">
        <v>7440.5</v>
      </c>
      <c r="C139" s="20">
        <v>7533.8</v>
      </c>
      <c r="D139" s="20">
        <v>7440.5</v>
      </c>
      <c r="E139" s="20">
        <v>7486.9</v>
      </c>
      <c r="F139" s="14">
        <v>0.62</v>
      </c>
      <c r="G139" s="14">
        <v>0.61</v>
      </c>
      <c r="H139" s="21">
        <v>741908600</v>
      </c>
      <c r="I139" s="17"/>
      <c r="J139" s="18">
        <f t="shared" si="2"/>
        <v>6.2361400443518089E-3</v>
      </c>
    </row>
    <row r="140" spans="1:10" x14ac:dyDescent="0.25">
      <c r="A140" t="s">
        <v>163</v>
      </c>
      <c r="B140" s="20">
        <v>7486.9</v>
      </c>
      <c r="C140" s="20">
        <v>7492.8</v>
      </c>
      <c r="D140" s="20">
        <v>7409.4</v>
      </c>
      <c r="E140" s="20">
        <v>7411</v>
      </c>
      <c r="F140" s="14">
        <v>-1.01</v>
      </c>
      <c r="G140" s="14">
        <v>-1.03</v>
      </c>
      <c r="H140" s="21">
        <v>798697800</v>
      </c>
      <c r="I140" s="17"/>
      <c r="J140" s="18">
        <f t="shared" si="2"/>
        <v>-1.0137707195234295E-2</v>
      </c>
    </row>
    <row r="141" spans="1:10" x14ac:dyDescent="0.25">
      <c r="A141" t="s">
        <v>164</v>
      </c>
      <c r="B141" s="20">
        <v>7411</v>
      </c>
      <c r="C141" s="20">
        <v>7509</v>
      </c>
      <c r="D141" s="20">
        <v>7410</v>
      </c>
      <c r="E141" s="20">
        <v>7504.3</v>
      </c>
      <c r="F141" s="14">
        <v>1.26</v>
      </c>
      <c r="G141" s="14">
        <v>1.24</v>
      </c>
      <c r="H141" s="21">
        <v>668943200</v>
      </c>
      <c r="I141" s="17"/>
      <c r="J141" s="18">
        <f t="shared" si="2"/>
        <v>1.2589394143840263E-2</v>
      </c>
    </row>
    <row r="142" spans="1:10" x14ac:dyDescent="0.25">
      <c r="A142" t="s">
        <v>165</v>
      </c>
      <c r="B142" s="20">
        <v>7504.3</v>
      </c>
      <c r="C142" s="20">
        <v>7506</v>
      </c>
      <c r="D142" s="20">
        <v>7472.7</v>
      </c>
      <c r="E142" s="20">
        <v>7496.4</v>
      </c>
      <c r="F142" s="14">
        <v>-0.11</v>
      </c>
      <c r="G142" s="14">
        <v>-0.12</v>
      </c>
      <c r="H142" s="21">
        <v>466773500</v>
      </c>
      <c r="I142" s="17"/>
      <c r="J142" s="18">
        <f t="shared" si="2"/>
        <v>-1.0527297682662667E-3</v>
      </c>
    </row>
    <row r="143" spans="1:10" x14ac:dyDescent="0.25">
      <c r="A143" t="s">
        <v>166</v>
      </c>
      <c r="B143" s="20">
        <v>7496.4</v>
      </c>
      <c r="C143" s="20">
        <v>7496.9</v>
      </c>
      <c r="D143" s="20">
        <v>7446.7</v>
      </c>
      <c r="E143" s="20">
        <v>7482</v>
      </c>
      <c r="F143" s="14">
        <v>-0.19</v>
      </c>
      <c r="G143" s="14">
        <v>-0.21</v>
      </c>
      <c r="H143" s="21">
        <v>533104500</v>
      </c>
      <c r="I143" s="17"/>
      <c r="J143" s="18">
        <f t="shared" si="2"/>
        <v>-1.9209220425803902E-3</v>
      </c>
    </row>
    <row r="144" spans="1:10" x14ac:dyDescent="0.25">
      <c r="A144" t="s">
        <v>167</v>
      </c>
      <c r="B144" s="20">
        <v>7482</v>
      </c>
      <c r="C144" s="20">
        <v>7504.5</v>
      </c>
      <c r="D144" s="20">
        <v>7452</v>
      </c>
      <c r="E144" s="20">
        <v>7469.5</v>
      </c>
      <c r="F144" s="14">
        <v>-0.17</v>
      </c>
      <c r="G144" s="14">
        <v>-0.19</v>
      </c>
      <c r="H144" s="21">
        <v>637243500</v>
      </c>
      <c r="I144" s="17"/>
      <c r="J144" s="18">
        <f t="shared" si="2"/>
        <v>-1.6706762897620957E-3</v>
      </c>
    </row>
    <row r="145" spans="1:10" x14ac:dyDescent="0.25">
      <c r="A145" t="s">
        <v>168</v>
      </c>
      <c r="B145" s="20">
        <v>7469.5</v>
      </c>
      <c r="C145" s="20">
        <v>7494.8</v>
      </c>
      <c r="D145" s="20">
        <v>7450.6</v>
      </c>
      <c r="E145" s="20">
        <v>7483.6</v>
      </c>
      <c r="F145" s="14">
        <v>0.19</v>
      </c>
      <c r="G145" s="14">
        <v>0.17</v>
      </c>
      <c r="H145" s="21">
        <v>610558000</v>
      </c>
      <c r="I145" s="17"/>
      <c r="J145" s="18">
        <f t="shared" si="2"/>
        <v>1.887676551308704E-3</v>
      </c>
    </row>
    <row r="146" spans="1:10" x14ac:dyDescent="0.25">
      <c r="A146" t="s">
        <v>169</v>
      </c>
      <c r="B146" s="20">
        <v>7483.6</v>
      </c>
      <c r="C146" s="20">
        <v>7494.7</v>
      </c>
      <c r="D146" s="20">
        <v>7450.1</v>
      </c>
      <c r="E146" s="20">
        <v>7488.2</v>
      </c>
      <c r="F146" s="14">
        <v>0.06</v>
      </c>
      <c r="G146" s="14">
        <v>0.04</v>
      </c>
      <c r="H146" s="21">
        <v>530714100</v>
      </c>
      <c r="I146" s="17"/>
      <c r="J146" s="18">
        <f t="shared" si="2"/>
        <v>6.1467742797576756E-4</v>
      </c>
    </row>
    <row r="147" spans="1:10" x14ac:dyDescent="0.25">
      <c r="A147" t="s">
        <v>170</v>
      </c>
      <c r="B147" s="20">
        <v>7488.2</v>
      </c>
      <c r="C147" s="20">
        <v>7488.3</v>
      </c>
      <c r="D147" s="20">
        <v>7452.2</v>
      </c>
      <c r="E147" s="20">
        <v>7460.7</v>
      </c>
      <c r="F147" s="14">
        <v>-0.37</v>
      </c>
      <c r="G147" s="14">
        <v>-0.39</v>
      </c>
      <c r="H147" s="21">
        <v>399628100</v>
      </c>
      <c r="I147" s="17"/>
      <c r="J147" s="18">
        <f t="shared" si="2"/>
        <v>-3.6724446462434229E-3</v>
      </c>
    </row>
    <row r="148" spans="1:10" x14ac:dyDescent="0.25">
      <c r="A148" t="s">
        <v>171</v>
      </c>
      <c r="B148" s="20">
        <v>7460.7</v>
      </c>
      <c r="C148" s="20">
        <v>7461.1</v>
      </c>
      <c r="D148" s="20">
        <v>7403.3</v>
      </c>
      <c r="E148" s="20">
        <v>7455.2</v>
      </c>
      <c r="F148" s="14">
        <v>-7.0000000000000007E-2</v>
      </c>
      <c r="G148" s="14">
        <v>-0.09</v>
      </c>
      <c r="H148" s="21">
        <v>610114900</v>
      </c>
      <c r="I148" s="17"/>
      <c r="J148" s="18">
        <f t="shared" si="2"/>
        <v>-7.3719624163952444E-4</v>
      </c>
    </row>
    <row r="149" spans="1:10" x14ac:dyDescent="0.25">
      <c r="A149" t="s">
        <v>172</v>
      </c>
      <c r="B149" s="20">
        <v>7455.2</v>
      </c>
      <c r="C149" s="20">
        <v>7457.5</v>
      </c>
      <c r="D149" s="20">
        <v>7408.8</v>
      </c>
      <c r="E149" s="20">
        <v>7423.5</v>
      </c>
      <c r="F149" s="14">
        <v>-0.43</v>
      </c>
      <c r="G149" s="14">
        <v>-0.44</v>
      </c>
      <c r="H149" s="21">
        <v>532425900</v>
      </c>
      <c r="I149" s="17"/>
      <c r="J149" s="18">
        <f t="shared" si="2"/>
        <v>-4.2520656722824096E-3</v>
      </c>
    </row>
    <row r="150" spans="1:10" x14ac:dyDescent="0.25">
      <c r="A150" t="s">
        <v>173</v>
      </c>
      <c r="B150" s="20">
        <v>7423.5</v>
      </c>
      <c r="C150" s="20">
        <v>7497.7</v>
      </c>
      <c r="D150" s="20">
        <v>7387.1</v>
      </c>
      <c r="E150" s="20">
        <v>7453.8</v>
      </c>
      <c r="F150" s="14">
        <v>0.41</v>
      </c>
      <c r="G150" s="14">
        <v>0.39</v>
      </c>
      <c r="H150" s="21">
        <v>1276856800</v>
      </c>
      <c r="I150" s="17"/>
      <c r="J150" s="18">
        <f t="shared" si="2"/>
        <v>4.0816326530612491E-3</v>
      </c>
    </row>
    <row r="151" spans="1:10" x14ac:dyDescent="0.25">
      <c r="A151" t="s">
        <v>174</v>
      </c>
      <c r="B151" s="20">
        <v>7453.8</v>
      </c>
      <c r="C151" s="20">
        <v>7538.7</v>
      </c>
      <c r="D151" s="20">
        <v>7453.8</v>
      </c>
      <c r="E151" s="20">
        <v>7529.4</v>
      </c>
      <c r="F151" s="14">
        <v>1.01</v>
      </c>
      <c r="G151" s="14">
        <v>1</v>
      </c>
      <c r="H151" s="21">
        <v>549661500</v>
      </c>
      <c r="I151" s="17"/>
      <c r="J151" s="18">
        <f t="shared" si="2"/>
        <v>1.0142477662400312E-2</v>
      </c>
    </row>
    <row r="152" spans="1:10" x14ac:dyDescent="0.25">
      <c r="A152" t="s">
        <v>175</v>
      </c>
      <c r="B152" s="20">
        <v>7529.4</v>
      </c>
      <c r="C152" s="20">
        <v>7533.8</v>
      </c>
      <c r="D152" s="20">
        <v>7476.9</v>
      </c>
      <c r="E152" s="20">
        <v>7513</v>
      </c>
      <c r="F152" s="14">
        <v>-0.22</v>
      </c>
      <c r="G152" s="14">
        <v>-0.24</v>
      </c>
      <c r="H152" s="21">
        <v>851332900</v>
      </c>
      <c r="I152" s="17"/>
      <c r="J152" s="18">
        <f t="shared" si="2"/>
        <v>-2.1781284033255818E-3</v>
      </c>
    </row>
    <row r="153" spans="1:10" x14ac:dyDescent="0.25">
      <c r="A153" t="s">
        <v>176</v>
      </c>
      <c r="B153" s="20">
        <v>7513</v>
      </c>
      <c r="C153" s="20">
        <v>7513</v>
      </c>
      <c r="D153" s="20">
        <v>7460.2</v>
      </c>
      <c r="E153" s="20">
        <v>7489.8</v>
      </c>
      <c r="F153" s="14">
        <v>-0.31</v>
      </c>
      <c r="G153" s="14">
        <v>-0.33</v>
      </c>
      <c r="H153" s="21">
        <v>689771600</v>
      </c>
      <c r="I153" s="17"/>
      <c r="J153" s="18">
        <f t="shared" si="2"/>
        <v>-3.0879808332223901E-3</v>
      </c>
    </row>
    <row r="154" spans="1:10" x14ac:dyDescent="0.25">
      <c r="A154" t="s">
        <v>177</v>
      </c>
      <c r="B154" s="20">
        <v>7489.8</v>
      </c>
      <c r="C154" s="20">
        <v>7542.6</v>
      </c>
      <c r="D154" s="20">
        <v>7486.8</v>
      </c>
      <c r="E154" s="20">
        <v>7515.4</v>
      </c>
      <c r="F154" s="14">
        <v>0.34</v>
      </c>
      <c r="G154" s="14">
        <v>0.32</v>
      </c>
      <c r="H154" s="21">
        <v>1489645900</v>
      </c>
      <c r="I154" s="17"/>
      <c r="J154" s="18">
        <f t="shared" si="2"/>
        <v>3.4179817885657097E-3</v>
      </c>
    </row>
    <row r="155" spans="1:10" x14ac:dyDescent="0.25">
      <c r="A155" t="s">
        <v>178</v>
      </c>
      <c r="B155" s="20">
        <v>7515.4</v>
      </c>
      <c r="C155" s="20">
        <v>7523.6</v>
      </c>
      <c r="D155" s="20">
        <v>7480.5</v>
      </c>
      <c r="E155" s="20">
        <v>7513.7</v>
      </c>
      <c r="F155" s="14">
        <v>-0.02</v>
      </c>
      <c r="G155" s="14">
        <v>-0.04</v>
      </c>
      <c r="H155" s="21">
        <v>811058900</v>
      </c>
      <c r="I155" s="17"/>
      <c r="J155" s="18">
        <f t="shared" si="2"/>
        <v>-2.2620219815310138E-4</v>
      </c>
    </row>
    <row r="156" spans="1:10" x14ac:dyDescent="0.25">
      <c r="A156" t="s">
        <v>179</v>
      </c>
      <c r="B156" s="20">
        <v>7513.7</v>
      </c>
      <c r="C156" s="20">
        <v>7581.3</v>
      </c>
      <c r="D156" s="20">
        <v>7509.8</v>
      </c>
      <c r="E156" s="20">
        <v>7554.5</v>
      </c>
      <c r="F156" s="14">
        <v>0.54</v>
      </c>
      <c r="G156" s="14">
        <v>0.52</v>
      </c>
      <c r="H156" s="21">
        <v>863626100</v>
      </c>
      <c r="I156" s="17"/>
      <c r="J156" s="18">
        <f t="shared" si="2"/>
        <v>5.4300810519451381E-3</v>
      </c>
    </row>
    <row r="157" spans="1:10" x14ac:dyDescent="0.25">
      <c r="A157" t="s">
        <v>180</v>
      </c>
      <c r="B157" s="20">
        <v>7554.5</v>
      </c>
      <c r="C157" s="20">
        <v>7557.4</v>
      </c>
      <c r="D157" s="20">
        <v>7493.6</v>
      </c>
      <c r="E157" s="20">
        <v>7544.9</v>
      </c>
      <c r="F157" s="14">
        <v>-0.13</v>
      </c>
      <c r="G157" s="14">
        <v>-0.15</v>
      </c>
      <c r="H157" s="21">
        <v>872408400</v>
      </c>
      <c r="I157" s="17"/>
      <c r="J157" s="18">
        <f t="shared" si="2"/>
        <v>-1.2707657687471526E-3</v>
      </c>
    </row>
    <row r="158" spans="1:10" x14ac:dyDescent="0.25">
      <c r="A158" t="s">
        <v>181</v>
      </c>
      <c r="B158" s="20">
        <v>7544.9</v>
      </c>
      <c r="C158" s="20">
        <v>7607.5</v>
      </c>
      <c r="D158" s="20">
        <v>7542.4</v>
      </c>
      <c r="E158" s="20">
        <v>7542.8</v>
      </c>
      <c r="F158" s="14">
        <v>-0.03</v>
      </c>
      <c r="G158" s="14">
        <v>-0.05</v>
      </c>
      <c r="H158" s="21">
        <v>812300300</v>
      </c>
      <c r="I158" s="17"/>
      <c r="J158" s="18">
        <f t="shared" si="2"/>
        <v>-2.7833370886286822E-4</v>
      </c>
    </row>
    <row r="159" spans="1:10" x14ac:dyDescent="0.25">
      <c r="A159" t="s">
        <v>182</v>
      </c>
      <c r="B159" s="20">
        <v>7542.8</v>
      </c>
      <c r="C159" s="20">
        <v>7584.9</v>
      </c>
      <c r="D159" s="20">
        <v>7542.7</v>
      </c>
      <c r="E159" s="20">
        <v>7548.4</v>
      </c>
      <c r="F159" s="14">
        <v>7.0000000000000007E-2</v>
      </c>
      <c r="G159" s="14">
        <v>0.06</v>
      </c>
      <c r="H159" s="21">
        <v>998797500</v>
      </c>
      <c r="I159" s="17"/>
      <c r="J159" s="18">
        <f t="shared" si="2"/>
        <v>7.4242986689285867E-4</v>
      </c>
    </row>
    <row r="160" spans="1:10" x14ac:dyDescent="0.25">
      <c r="A160" t="s">
        <v>183</v>
      </c>
      <c r="B160" s="20">
        <v>7548.4</v>
      </c>
      <c r="C160" s="20">
        <v>7724.8</v>
      </c>
      <c r="D160" s="20">
        <v>7548.4</v>
      </c>
      <c r="E160" s="20">
        <v>7649</v>
      </c>
      <c r="F160" s="14">
        <v>1.33</v>
      </c>
      <c r="G160" s="14">
        <v>1.31</v>
      </c>
      <c r="H160" s="21">
        <v>1517185300</v>
      </c>
      <c r="I160" s="17"/>
      <c r="J160" s="18">
        <f t="shared" si="2"/>
        <v>1.3327327645593818E-2</v>
      </c>
    </row>
    <row r="161" spans="1:10" x14ac:dyDescent="0.25">
      <c r="A161" t="s">
        <v>184</v>
      </c>
      <c r="B161" s="20">
        <v>7649</v>
      </c>
      <c r="C161" s="20">
        <v>7668.2</v>
      </c>
      <c r="D161" s="20">
        <v>7569</v>
      </c>
      <c r="E161" s="20">
        <v>7576.4</v>
      </c>
      <c r="F161" s="14">
        <v>-0.95</v>
      </c>
      <c r="G161" s="14">
        <v>-0.97</v>
      </c>
      <c r="H161" s="21">
        <v>1645000000</v>
      </c>
      <c r="I161" s="17"/>
      <c r="J161" s="18">
        <f t="shared" si="2"/>
        <v>-9.4914367891228094E-3</v>
      </c>
    </row>
    <row r="162" spans="1:10" x14ac:dyDescent="0.25">
      <c r="A162" t="s">
        <v>185</v>
      </c>
      <c r="B162" s="20">
        <v>7576.4</v>
      </c>
      <c r="C162" s="20">
        <v>7630.6</v>
      </c>
      <c r="D162" s="20">
        <v>7557.2</v>
      </c>
      <c r="E162" s="20">
        <v>7614.5</v>
      </c>
      <c r="F162" s="14">
        <v>0.5</v>
      </c>
      <c r="G162" s="14">
        <v>0.48</v>
      </c>
      <c r="H162" s="21">
        <v>710048700</v>
      </c>
      <c r="I162" s="17"/>
      <c r="J162" s="18">
        <f t="shared" si="2"/>
        <v>5.0287735600021604E-3</v>
      </c>
    </row>
    <row r="163" spans="1:10" x14ac:dyDescent="0.25">
      <c r="A163" t="s">
        <v>186</v>
      </c>
      <c r="B163" s="20">
        <v>7614.5</v>
      </c>
      <c r="C163" s="20">
        <v>7642.2</v>
      </c>
      <c r="D163" s="20">
        <v>7605.4</v>
      </c>
      <c r="E163" s="20">
        <v>7638</v>
      </c>
      <c r="F163" s="14">
        <v>0.31</v>
      </c>
      <c r="G163" s="14">
        <v>0.28999999999999998</v>
      </c>
      <c r="H163" s="21">
        <v>961867300</v>
      </c>
      <c r="I163" s="17"/>
      <c r="J163" s="18">
        <f t="shared" si="2"/>
        <v>3.0862170858231008E-3</v>
      </c>
    </row>
    <row r="164" spans="1:10" x14ac:dyDescent="0.25">
      <c r="A164" t="s">
        <v>187</v>
      </c>
      <c r="B164" s="20">
        <v>7638</v>
      </c>
      <c r="C164" s="20">
        <v>7762.9</v>
      </c>
      <c r="D164" s="20">
        <v>7637.9</v>
      </c>
      <c r="E164" s="20">
        <v>7715.7</v>
      </c>
      <c r="F164" s="14">
        <v>1.02</v>
      </c>
      <c r="G164" s="14">
        <v>1</v>
      </c>
      <c r="H164" s="21">
        <v>980983700</v>
      </c>
      <c r="I164" s="17"/>
      <c r="J164" s="18">
        <f t="shared" si="2"/>
        <v>1.0172820109976409E-2</v>
      </c>
    </row>
    <row r="165" spans="1:10" x14ac:dyDescent="0.25">
      <c r="A165" t="s">
        <v>188</v>
      </c>
      <c r="B165" s="20">
        <v>7715.7</v>
      </c>
      <c r="C165" s="20">
        <v>7715.7</v>
      </c>
      <c r="D165" s="20">
        <v>7668.4</v>
      </c>
      <c r="E165" s="20">
        <v>7694.7</v>
      </c>
      <c r="F165" s="14">
        <v>-0.27</v>
      </c>
      <c r="G165" s="14">
        <v>-0.28999999999999998</v>
      </c>
      <c r="H165" s="21">
        <v>603350200</v>
      </c>
      <c r="I165" s="17"/>
      <c r="J165" s="18">
        <f t="shared" si="2"/>
        <v>-2.7217232396282904E-3</v>
      </c>
    </row>
    <row r="166" spans="1:10" x14ac:dyDescent="0.25">
      <c r="A166" t="s">
        <v>189</v>
      </c>
      <c r="B166" s="20">
        <v>7694.7</v>
      </c>
      <c r="C166" s="20">
        <v>7715.2</v>
      </c>
      <c r="D166" s="20">
        <v>7676.4</v>
      </c>
      <c r="E166" s="20">
        <v>7697.5</v>
      </c>
      <c r="F166" s="14">
        <v>0.04</v>
      </c>
      <c r="G166" s="14">
        <v>0.02</v>
      </c>
      <c r="H166" s="21">
        <v>329604400</v>
      </c>
      <c r="I166" s="17"/>
      <c r="J166" s="18">
        <f t="shared" si="2"/>
        <v>3.6388683119552187E-4</v>
      </c>
    </row>
    <row r="167" spans="1:10" x14ac:dyDescent="0.25">
      <c r="A167" t="s">
        <v>190</v>
      </c>
      <c r="B167" s="20">
        <v>7697.5</v>
      </c>
      <c r="C167" s="20">
        <v>7759.7</v>
      </c>
      <c r="D167" s="20">
        <v>7697.5</v>
      </c>
      <c r="E167" s="20">
        <v>7725</v>
      </c>
      <c r="F167" s="14">
        <v>0.36</v>
      </c>
      <c r="G167" s="14">
        <v>0.34</v>
      </c>
      <c r="H167" s="21">
        <v>432594200</v>
      </c>
      <c r="I167" s="17"/>
      <c r="J167" s="18">
        <f t="shared" si="2"/>
        <v>3.5725885027606367E-3</v>
      </c>
    </row>
    <row r="168" spans="1:10" x14ac:dyDescent="0.25">
      <c r="A168" t="s">
        <v>191</v>
      </c>
      <c r="B168" s="20">
        <v>7725</v>
      </c>
      <c r="C168" s="20">
        <v>7746</v>
      </c>
      <c r="D168" s="20">
        <v>7708.7</v>
      </c>
      <c r="E168" s="20">
        <v>7722.7</v>
      </c>
      <c r="F168" s="14">
        <v>-0.03</v>
      </c>
      <c r="G168" s="14">
        <v>-0.05</v>
      </c>
      <c r="H168" s="21">
        <v>327536200</v>
      </c>
      <c r="I168" s="17"/>
      <c r="J168" s="18">
        <f t="shared" si="2"/>
        <v>-2.9773462783173877E-4</v>
      </c>
    </row>
    <row r="169" spans="1:10" x14ac:dyDescent="0.25">
      <c r="A169" t="s">
        <v>192</v>
      </c>
      <c r="B169" s="20">
        <v>7722.7</v>
      </c>
      <c r="C169" s="20">
        <v>7746.9</v>
      </c>
      <c r="D169" s="20">
        <v>7719</v>
      </c>
      <c r="E169" s="20">
        <v>7733.2</v>
      </c>
      <c r="F169" s="14">
        <v>0.14000000000000001</v>
      </c>
      <c r="G169" s="14">
        <v>0.12</v>
      </c>
      <c r="H169" s="21">
        <v>235460600</v>
      </c>
      <c r="I169" s="17"/>
      <c r="J169" s="18">
        <f t="shared" si="2"/>
        <v>1.3596281093399977E-3</v>
      </c>
    </row>
    <row r="170" spans="1:10" x14ac:dyDescent="0.25">
      <c r="A170" t="s">
        <v>193</v>
      </c>
      <c r="B170" s="20">
        <v>7733.2</v>
      </c>
      <c r="C170" s="20">
        <v>7764.4</v>
      </c>
      <c r="D170" s="20">
        <v>7689</v>
      </c>
      <c r="E170" s="20">
        <v>7721.5</v>
      </c>
      <c r="F170" s="14">
        <v>-0.15</v>
      </c>
      <c r="G170" s="14">
        <v>-0.17</v>
      </c>
      <c r="H170" s="21">
        <v>678041300</v>
      </c>
      <c r="I170" s="17"/>
      <c r="J170" s="18">
        <f t="shared" si="2"/>
        <v>-1.5129571199503204E-3</v>
      </c>
    </row>
    <row r="171" spans="1:10" x14ac:dyDescent="0.25">
      <c r="A171" t="s">
        <v>194</v>
      </c>
      <c r="B171" s="20">
        <v>7721.5</v>
      </c>
      <c r="C171" s="20">
        <v>7744.6</v>
      </c>
      <c r="D171" s="20">
        <v>7650.3</v>
      </c>
      <c r="E171" s="20">
        <v>7682.3</v>
      </c>
      <c r="F171" s="14">
        <v>-0.51</v>
      </c>
      <c r="G171" s="14">
        <v>-0.53</v>
      </c>
      <c r="H171" s="21">
        <v>857615300</v>
      </c>
      <c r="I171" s="17"/>
      <c r="J171" s="18">
        <f t="shared" si="2"/>
        <v>-5.076733795247014E-3</v>
      </c>
    </row>
    <row r="172" spans="1:10" x14ac:dyDescent="0.25">
      <c r="A172" t="s">
        <v>195</v>
      </c>
      <c r="B172" s="20">
        <v>7682.3</v>
      </c>
      <c r="C172" s="20">
        <v>7728.2</v>
      </c>
      <c r="D172" s="20">
        <v>7678.8</v>
      </c>
      <c r="E172" s="20">
        <v>7723.1</v>
      </c>
      <c r="F172" s="14">
        <v>0.53</v>
      </c>
      <c r="G172" s="14">
        <v>0.51</v>
      </c>
      <c r="H172" s="21">
        <v>963235800</v>
      </c>
      <c r="I172" s="17"/>
      <c r="J172" s="18">
        <f t="shared" si="2"/>
        <v>5.3109094932507431E-3</v>
      </c>
    </row>
    <row r="173" spans="1:10" x14ac:dyDescent="0.25">
      <c r="A173" t="s">
        <v>196</v>
      </c>
      <c r="B173" s="20">
        <v>7723.1</v>
      </c>
      <c r="C173" s="20">
        <v>7723.1</v>
      </c>
      <c r="D173" s="20">
        <v>7642.9</v>
      </c>
      <c r="E173" s="20">
        <v>7689.6</v>
      </c>
      <c r="F173" s="14">
        <v>-0.43</v>
      </c>
      <c r="G173" s="14">
        <v>-0.45</v>
      </c>
      <c r="H173" s="21">
        <v>701524000</v>
      </c>
      <c r="I173" s="17"/>
      <c r="J173" s="18">
        <f t="shared" si="2"/>
        <v>-4.3376364413253744E-3</v>
      </c>
    </row>
    <row r="174" spans="1:10" x14ac:dyDescent="0.25">
      <c r="A174" t="s">
        <v>197</v>
      </c>
      <c r="B174" s="20">
        <v>7689.6</v>
      </c>
      <c r="C174" s="20">
        <v>7694.2</v>
      </c>
      <c r="D174" s="20">
        <v>7636.1</v>
      </c>
      <c r="E174" s="20">
        <v>7694.2</v>
      </c>
      <c r="F174" s="14">
        <v>0.06</v>
      </c>
      <c r="G174" s="14">
        <v>0.04</v>
      </c>
      <c r="H174" s="21">
        <v>1055586300</v>
      </c>
      <c r="I174" s="17"/>
      <c r="J174" s="18">
        <f t="shared" si="2"/>
        <v>5.9821057012061148E-4</v>
      </c>
    </row>
    <row r="175" spans="1:10" x14ac:dyDescent="0.25">
      <c r="A175" t="s">
        <v>198</v>
      </c>
      <c r="B175" s="20">
        <v>7694.2</v>
      </c>
      <c r="C175" s="20">
        <v>7717.5</v>
      </c>
      <c r="D175" s="20">
        <v>7675.1</v>
      </c>
      <c r="E175" s="20">
        <v>7684</v>
      </c>
      <c r="F175" s="14">
        <v>-0.13</v>
      </c>
      <c r="G175" s="14">
        <v>-0.15</v>
      </c>
      <c r="H175" s="21">
        <v>703141300</v>
      </c>
      <c r="I175" s="17"/>
      <c r="J175" s="18">
        <f t="shared" si="2"/>
        <v>-1.3256738842244572E-3</v>
      </c>
    </row>
    <row r="176" spans="1:10" x14ac:dyDescent="0.25">
      <c r="A176" t="s">
        <v>199</v>
      </c>
      <c r="B176" s="20">
        <v>7684</v>
      </c>
      <c r="C176" s="20">
        <v>7684</v>
      </c>
      <c r="D176" s="20">
        <v>7647.4</v>
      </c>
      <c r="E176" s="20">
        <v>7651.8</v>
      </c>
      <c r="F176" s="14">
        <v>-0.42</v>
      </c>
      <c r="G176" s="14">
        <v>-0.44</v>
      </c>
      <c r="H176" s="21">
        <v>668838800</v>
      </c>
      <c r="I176" s="17"/>
      <c r="J176" s="18">
        <f t="shared" si="2"/>
        <v>-4.1905257678292321E-3</v>
      </c>
    </row>
    <row r="177" spans="1:10" x14ac:dyDescent="0.25">
      <c r="A177" t="s">
        <v>200</v>
      </c>
      <c r="B177" s="20">
        <v>7651.8</v>
      </c>
      <c r="C177" s="20">
        <v>7693.9</v>
      </c>
      <c r="D177" s="20">
        <v>7576.6</v>
      </c>
      <c r="E177" s="20">
        <v>7576.6</v>
      </c>
      <c r="F177" s="14">
        <v>-0.98</v>
      </c>
      <c r="G177" s="14">
        <v>-1</v>
      </c>
      <c r="H177" s="21">
        <v>1306895000</v>
      </c>
      <c r="I177" s="17"/>
      <c r="J177" s="18">
        <f t="shared" si="2"/>
        <v>-9.8277529470189775E-3</v>
      </c>
    </row>
    <row r="178" spans="1:10" x14ac:dyDescent="0.25">
      <c r="A178" t="s">
        <v>201</v>
      </c>
      <c r="B178" s="20">
        <v>7576.6</v>
      </c>
      <c r="C178" s="20">
        <v>7655.2</v>
      </c>
      <c r="D178" s="20">
        <v>7576.6</v>
      </c>
      <c r="E178" s="20">
        <v>7624.9</v>
      </c>
      <c r="F178" s="14">
        <v>0.64</v>
      </c>
      <c r="G178" s="14">
        <v>0.62</v>
      </c>
      <c r="H178" s="21">
        <v>794125500</v>
      </c>
      <c r="I178" s="17"/>
      <c r="J178" s="18">
        <f t="shared" si="2"/>
        <v>6.3748911121082373E-3</v>
      </c>
    </row>
    <row r="179" spans="1:10" x14ac:dyDescent="0.25">
      <c r="A179" t="s">
        <v>202</v>
      </c>
      <c r="B179" s="20">
        <v>7624.9</v>
      </c>
      <c r="C179" s="20">
        <v>7637.8</v>
      </c>
      <c r="D179" s="20">
        <v>7578.3</v>
      </c>
      <c r="E179" s="20">
        <v>7594.9</v>
      </c>
      <c r="F179" s="14">
        <v>-0.39</v>
      </c>
      <c r="G179" s="14">
        <v>-0.41</v>
      </c>
      <c r="H179" s="21">
        <v>740769500</v>
      </c>
      <c r="I179" s="17"/>
      <c r="J179" s="18">
        <f t="shared" si="2"/>
        <v>-3.9344778292174322E-3</v>
      </c>
    </row>
    <row r="180" spans="1:10" x14ac:dyDescent="0.25">
      <c r="A180" t="s">
        <v>203</v>
      </c>
      <c r="B180" s="20">
        <v>7594.9</v>
      </c>
      <c r="C180" s="20">
        <v>7594.9</v>
      </c>
      <c r="D180" s="20">
        <v>7538.9</v>
      </c>
      <c r="E180" s="20">
        <v>7558.3</v>
      </c>
      <c r="F180" s="14">
        <v>-0.48</v>
      </c>
      <c r="G180" s="14">
        <v>-0.5</v>
      </c>
      <c r="H180" s="21">
        <v>1128049600</v>
      </c>
      <c r="I180" s="17"/>
      <c r="J180" s="18">
        <f t="shared" si="2"/>
        <v>-4.8190232919458394E-3</v>
      </c>
    </row>
    <row r="181" spans="1:10" x14ac:dyDescent="0.25">
      <c r="A181" t="s">
        <v>204</v>
      </c>
      <c r="B181" s="20">
        <v>7558.3</v>
      </c>
      <c r="C181" s="20">
        <v>7558.3</v>
      </c>
      <c r="D181" s="20">
        <v>7404.1</v>
      </c>
      <c r="E181" s="20">
        <v>7446.3</v>
      </c>
      <c r="F181" s="14">
        <v>-1.48</v>
      </c>
      <c r="G181" s="14">
        <v>-1.5</v>
      </c>
      <c r="H181" s="21">
        <v>838880100</v>
      </c>
      <c r="I181" s="17"/>
      <c r="J181" s="18">
        <f t="shared" si="2"/>
        <v>-1.4818146937803475E-2</v>
      </c>
    </row>
    <row r="182" spans="1:10" x14ac:dyDescent="0.25">
      <c r="A182" t="s">
        <v>205</v>
      </c>
      <c r="B182" s="20">
        <v>7446.3</v>
      </c>
      <c r="C182" s="20">
        <v>7471.7</v>
      </c>
      <c r="D182" s="20">
        <v>7426.6</v>
      </c>
      <c r="E182" s="20">
        <v>7459.1</v>
      </c>
      <c r="F182" s="14">
        <v>0.17</v>
      </c>
      <c r="G182" s="14">
        <v>0.15</v>
      </c>
      <c r="H182" s="21">
        <v>883212400</v>
      </c>
      <c r="I182" s="17"/>
      <c r="J182" s="18">
        <f t="shared" si="2"/>
        <v>1.7189745242603954E-3</v>
      </c>
    </row>
    <row r="183" spans="1:10" x14ac:dyDescent="0.25">
      <c r="A183" t="s">
        <v>206</v>
      </c>
      <c r="B183" s="20">
        <v>7459.1</v>
      </c>
      <c r="C183" s="20">
        <v>7521.1</v>
      </c>
      <c r="D183" s="20">
        <v>7450.9</v>
      </c>
      <c r="E183" s="20">
        <v>7461.9</v>
      </c>
      <c r="F183" s="14">
        <v>0.04</v>
      </c>
      <c r="G183" s="14">
        <v>0.02</v>
      </c>
      <c r="H183" s="21">
        <v>1242202400</v>
      </c>
      <c r="I183" s="17"/>
      <c r="J183" s="18">
        <f t="shared" si="2"/>
        <v>3.7538040782390266E-4</v>
      </c>
    </row>
    <row r="184" spans="1:10" x14ac:dyDescent="0.25">
      <c r="A184" t="s">
        <v>207</v>
      </c>
      <c r="B184" s="20">
        <v>7461.9</v>
      </c>
      <c r="C184" s="20">
        <v>7503.6</v>
      </c>
      <c r="D184" s="20">
        <v>7456</v>
      </c>
      <c r="E184" s="20">
        <v>7487.7</v>
      </c>
      <c r="F184" s="14">
        <v>0.35</v>
      </c>
      <c r="G184" s="14">
        <v>0.33</v>
      </c>
      <c r="H184" s="21">
        <v>787927500</v>
      </c>
      <c r="I184" s="17"/>
      <c r="J184" s="18">
        <f t="shared" si="2"/>
        <v>3.457564427290661E-3</v>
      </c>
    </row>
    <row r="185" spans="1:10" x14ac:dyDescent="0.25">
      <c r="A185" t="s">
        <v>208</v>
      </c>
      <c r="B185" s="20">
        <v>7487.7</v>
      </c>
      <c r="C185" s="20">
        <v>7525.1</v>
      </c>
      <c r="D185" s="20">
        <v>7465.1</v>
      </c>
      <c r="E185" s="20">
        <v>7485.7</v>
      </c>
      <c r="F185" s="14">
        <v>-0.03</v>
      </c>
      <c r="G185" s="14">
        <v>-0.04</v>
      </c>
      <c r="H185" s="21">
        <v>1048392200</v>
      </c>
      <c r="I185" s="17"/>
      <c r="J185" s="18">
        <f t="shared" si="2"/>
        <v>-2.6710471840485063E-4</v>
      </c>
    </row>
    <row r="186" spans="1:10" x14ac:dyDescent="0.25">
      <c r="A186" t="s">
        <v>209</v>
      </c>
      <c r="B186" s="20">
        <v>7485.7</v>
      </c>
      <c r="C186" s="20">
        <v>7538.9</v>
      </c>
      <c r="D186" s="20">
        <v>7485.7</v>
      </c>
      <c r="E186" s="20">
        <v>7527.7</v>
      </c>
      <c r="F186" s="14">
        <v>0.56000000000000005</v>
      </c>
      <c r="G186" s="14">
        <v>0.54</v>
      </c>
      <c r="H186" s="21">
        <v>869218500</v>
      </c>
      <c r="I186" s="17"/>
      <c r="J186" s="18">
        <f t="shared" si="2"/>
        <v>5.6106977303391802E-3</v>
      </c>
    </row>
    <row r="187" spans="1:10" x14ac:dyDescent="0.25">
      <c r="A187" t="s">
        <v>210</v>
      </c>
      <c r="B187" s="20">
        <v>7527.7</v>
      </c>
      <c r="C187" s="20">
        <v>7544.5</v>
      </c>
      <c r="D187" s="20">
        <v>7507</v>
      </c>
      <c r="E187" s="20">
        <v>7529.7</v>
      </c>
      <c r="F187" s="14">
        <v>0.03</v>
      </c>
      <c r="G187" s="14">
        <v>0.01</v>
      </c>
      <c r="H187" s="21">
        <v>735927500</v>
      </c>
      <c r="I187" s="17"/>
      <c r="J187" s="18">
        <f t="shared" si="2"/>
        <v>2.6568540191559178E-4</v>
      </c>
    </row>
    <row r="188" spans="1:10" x14ac:dyDescent="0.25">
      <c r="A188" t="s">
        <v>211</v>
      </c>
      <c r="B188" s="20">
        <v>7529.7</v>
      </c>
      <c r="C188" s="20">
        <v>7651.8</v>
      </c>
      <c r="D188" s="20">
        <v>7529.7</v>
      </c>
      <c r="E188" s="20">
        <v>7635.1</v>
      </c>
      <c r="F188" s="14">
        <v>1.4</v>
      </c>
      <c r="G188" s="14">
        <v>1.38</v>
      </c>
      <c r="H188" s="21">
        <v>1046240900</v>
      </c>
      <c r="I188" s="17"/>
      <c r="J188" s="18">
        <f t="shared" si="2"/>
        <v>1.3997901642827808E-2</v>
      </c>
    </row>
    <row r="189" spans="1:10" x14ac:dyDescent="0.25">
      <c r="A189" t="s">
        <v>212</v>
      </c>
      <c r="B189" s="20">
        <v>7635.1</v>
      </c>
      <c r="C189" s="20">
        <v>7664.9</v>
      </c>
      <c r="D189" s="20">
        <v>7630.8</v>
      </c>
      <c r="E189" s="20">
        <v>7632.7</v>
      </c>
      <c r="F189" s="14">
        <v>-0.03</v>
      </c>
      <c r="G189" s="14">
        <v>-0.05</v>
      </c>
      <c r="H189" s="21">
        <v>636218800</v>
      </c>
      <c r="I189" s="17"/>
      <c r="J189" s="18">
        <f t="shared" si="2"/>
        <v>-3.1433772969581872E-4</v>
      </c>
    </row>
    <row r="190" spans="1:10" x14ac:dyDescent="0.25">
      <c r="A190" t="s">
        <v>213</v>
      </c>
      <c r="B190" s="20">
        <v>7632.7</v>
      </c>
      <c r="C190" s="20">
        <v>7684.2</v>
      </c>
      <c r="D190" s="20">
        <v>7632.7</v>
      </c>
      <c r="E190" s="20">
        <v>7666.3</v>
      </c>
      <c r="F190" s="14">
        <v>0.44</v>
      </c>
      <c r="G190" s="14">
        <v>0.42</v>
      </c>
      <c r="H190" s="21">
        <v>748149200</v>
      </c>
      <c r="I190" s="17"/>
      <c r="J190" s="18">
        <f t="shared" si="2"/>
        <v>4.4021119656216497E-3</v>
      </c>
    </row>
    <row r="191" spans="1:10" x14ac:dyDescent="0.25">
      <c r="A191" t="s">
        <v>214</v>
      </c>
      <c r="B191" s="20">
        <v>7666.3</v>
      </c>
      <c r="C191" s="20">
        <v>7689.7</v>
      </c>
      <c r="D191" s="20">
        <v>7630.6</v>
      </c>
      <c r="E191" s="20">
        <v>7630.6</v>
      </c>
      <c r="F191" s="14">
        <v>-0.47</v>
      </c>
      <c r="G191" s="14">
        <v>-0.48</v>
      </c>
      <c r="H191" s="21">
        <v>952428700</v>
      </c>
      <c r="I191" s="17"/>
      <c r="J191" s="18">
        <f t="shared" si="2"/>
        <v>-4.6567444529955542E-3</v>
      </c>
    </row>
    <row r="192" spans="1:10" x14ac:dyDescent="0.25">
      <c r="A192" t="s">
        <v>215</v>
      </c>
      <c r="B192" s="20">
        <v>7630.6</v>
      </c>
      <c r="C192" s="20">
        <v>7673.7</v>
      </c>
      <c r="D192" s="20">
        <v>7607.9</v>
      </c>
      <c r="E192" s="20">
        <v>7622.2</v>
      </c>
      <c r="F192" s="14">
        <v>-0.11</v>
      </c>
      <c r="G192" s="14">
        <v>-0.13</v>
      </c>
      <c r="H192" s="21">
        <v>936217800</v>
      </c>
      <c r="I192" s="17"/>
      <c r="J192" s="18">
        <f t="shared" si="2"/>
        <v>-1.1008308652007109E-3</v>
      </c>
    </row>
    <row r="193" spans="1:10" x14ac:dyDescent="0.25">
      <c r="A193" t="s">
        <v>216</v>
      </c>
      <c r="B193" s="20">
        <v>7622.2</v>
      </c>
      <c r="C193" s="20">
        <v>7670.9</v>
      </c>
      <c r="D193" s="20">
        <v>7609.3</v>
      </c>
      <c r="E193" s="20">
        <v>7615.5</v>
      </c>
      <c r="F193" s="14">
        <v>-0.09</v>
      </c>
      <c r="G193" s="14">
        <v>-0.11</v>
      </c>
      <c r="H193" s="21">
        <v>859451400</v>
      </c>
      <c r="I193" s="17"/>
      <c r="J193" s="18">
        <f t="shared" si="2"/>
        <v>-8.7901130907084809E-4</v>
      </c>
    </row>
    <row r="194" spans="1:10" x14ac:dyDescent="0.25">
      <c r="A194" t="s">
        <v>217</v>
      </c>
      <c r="B194" s="20">
        <v>7615.5</v>
      </c>
      <c r="C194" s="20">
        <v>7667.8</v>
      </c>
      <c r="D194" s="20">
        <v>7598.7</v>
      </c>
      <c r="E194" s="20">
        <v>7612.9</v>
      </c>
      <c r="F194" s="14">
        <v>-0.03</v>
      </c>
      <c r="G194" s="14">
        <v>-0.05</v>
      </c>
      <c r="H194" s="21">
        <v>1350635500</v>
      </c>
      <c r="I194" s="17"/>
      <c r="J194" s="18">
        <f t="shared" si="2"/>
        <v>-3.4140896855102933E-4</v>
      </c>
    </row>
    <row r="195" spans="1:10" x14ac:dyDescent="0.25">
      <c r="A195" t="s">
        <v>218</v>
      </c>
      <c r="B195" s="20">
        <v>7612.9</v>
      </c>
      <c r="C195" s="20">
        <v>7693.6</v>
      </c>
      <c r="D195" s="20">
        <v>7612.9</v>
      </c>
      <c r="E195" s="20">
        <v>7681</v>
      </c>
      <c r="F195" s="14">
        <v>0.89</v>
      </c>
      <c r="G195" s="14">
        <v>0.88</v>
      </c>
      <c r="H195" s="21">
        <v>1499137700</v>
      </c>
      <c r="I195" s="17"/>
      <c r="J195" s="18">
        <f t="shared" si="2"/>
        <v>8.9453427734503752E-3</v>
      </c>
    </row>
    <row r="196" spans="1:10" x14ac:dyDescent="0.25">
      <c r="A196" t="s">
        <v>219</v>
      </c>
      <c r="B196" s="20">
        <v>7681</v>
      </c>
      <c r="C196" s="20">
        <v>7694.9</v>
      </c>
      <c r="D196" s="20">
        <v>7626.2</v>
      </c>
      <c r="E196" s="20">
        <v>7628.8</v>
      </c>
      <c r="F196" s="14">
        <v>-0.68</v>
      </c>
      <c r="G196" s="14">
        <v>-0.7</v>
      </c>
      <c r="H196" s="21">
        <v>985234500</v>
      </c>
      <c r="I196" s="17"/>
      <c r="J196" s="18">
        <f t="shared" ref="J196:J250" si="3">(E196-E195)/E195</f>
        <v>-6.7959901054549954E-3</v>
      </c>
    </row>
    <row r="197" spans="1:10" x14ac:dyDescent="0.25">
      <c r="A197" t="s">
        <v>220</v>
      </c>
      <c r="B197" s="20">
        <v>7628.8</v>
      </c>
      <c r="C197" s="20">
        <v>7653.4</v>
      </c>
      <c r="D197" s="20">
        <v>7593.6</v>
      </c>
      <c r="E197" s="20">
        <v>7595.5</v>
      </c>
      <c r="F197" s="14">
        <v>-0.44</v>
      </c>
      <c r="G197" s="14">
        <v>-0.45</v>
      </c>
      <c r="H197" s="21">
        <v>709573100</v>
      </c>
      <c r="I197" s="17"/>
      <c r="J197" s="18">
        <f t="shared" si="3"/>
        <v>-4.3650377516778758E-3</v>
      </c>
    </row>
    <row r="198" spans="1:10" x14ac:dyDescent="0.25">
      <c r="A198" t="s">
        <v>221</v>
      </c>
      <c r="B198" s="20">
        <v>7595.5</v>
      </c>
      <c r="C198" s="20">
        <v>7608.7</v>
      </c>
      <c r="D198" s="20">
        <v>7557.4</v>
      </c>
      <c r="E198" s="20">
        <v>7572.6</v>
      </c>
      <c r="F198" s="14">
        <v>-0.3</v>
      </c>
      <c r="G198" s="14">
        <v>-0.32</v>
      </c>
      <c r="H198" s="21">
        <v>1091499500</v>
      </c>
      <c r="I198" s="17"/>
      <c r="J198" s="18">
        <f t="shared" si="3"/>
        <v>-3.0149430583897882E-3</v>
      </c>
    </row>
    <row r="199" spans="1:10" x14ac:dyDescent="0.25">
      <c r="A199" t="s">
        <v>222</v>
      </c>
      <c r="B199" s="20">
        <v>7572.6</v>
      </c>
      <c r="C199" s="20">
        <v>7590.5</v>
      </c>
      <c r="D199" s="20">
        <v>7555.5</v>
      </c>
      <c r="E199" s="20">
        <v>7573.7</v>
      </c>
      <c r="F199" s="14">
        <v>0.01</v>
      </c>
      <c r="G199" s="14">
        <v>0</v>
      </c>
      <c r="H199" s="21">
        <v>839183300</v>
      </c>
      <c r="I199" s="17"/>
      <c r="J199" s="18">
        <f t="shared" si="3"/>
        <v>1.4526054459491512E-4</v>
      </c>
    </row>
    <row r="200" spans="1:10" x14ac:dyDescent="0.25">
      <c r="A200" t="s">
        <v>223</v>
      </c>
      <c r="B200" s="20">
        <v>7573.7</v>
      </c>
      <c r="C200" s="20">
        <v>7585.3</v>
      </c>
      <c r="D200" s="20">
        <v>7493</v>
      </c>
      <c r="E200" s="20">
        <v>7512.3</v>
      </c>
      <c r="F200" s="14">
        <v>-0.81</v>
      </c>
      <c r="G200" s="14">
        <v>-0.83</v>
      </c>
      <c r="H200" s="21">
        <v>1188999800</v>
      </c>
      <c r="I200" s="17"/>
      <c r="J200" s="18">
        <f t="shared" si="3"/>
        <v>-8.1070018617055914E-3</v>
      </c>
    </row>
    <row r="201" spans="1:10" x14ac:dyDescent="0.25">
      <c r="A201" t="s">
        <v>224</v>
      </c>
      <c r="B201" s="20">
        <v>7512.3</v>
      </c>
      <c r="C201" s="20">
        <v>7590.1</v>
      </c>
      <c r="D201" s="20">
        <v>7512.3</v>
      </c>
      <c r="E201" s="20">
        <v>7568.4</v>
      </c>
      <c r="F201" s="14">
        <v>0.75</v>
      </c>
      <c r="G201" s="14">
        <v>0.73</v>
      </c>
      <c r="H201" s="21">
        <v>1209576400</v>
      </c>
      <c r="I201" s="17"/>
      <c r="J201" s="18">
        <f t="shared" si="3"/>
        <v>7.4677528852680874E-3</v>
      </c>
    </row>
    <row r="202" spans="1:10" x14ac:dyDescent="0.25">
      <c r="A202" t="s">
        <v>225</v>
      </c>
      <c r="B202" s="20">
        <v>7568.4</v>
      </c>
      <c r="C202" s="20">
        <v>7612.3</v>
      </c>
      <c r="D202" s="20">
        <v>7562.1</v>
      </c>
      <c r="E202" s="20">
        <v>7597.5</v>
      </c>
      <c r="F202" s="14">
        <v>0.38</v>
      </c>
      <c r="G202" s="14">
        <v>0.37</v>
      </c>
      <c r="H202" s="21">
        <v>850537300</v>
      </c>
      <c r="I202" s="17"/>
      <c r="J202" s="18">
        <f t="shared" si="3"/>
        <v>3.8449342000951808E-3</v>
      </c>
    </row>
    <row r="203" spans="1:10" x14ac:dyDescent="0.25">
      <c r="A203" t="s">
        <v>226</v>
      </c>
      <c r="B203" s="20">
        <v>7597.5</v>
      </c>
      <c r="C203" s="20">
        <v>7720.7</v>
      </c>
      <c r="D203" s="20">
        <v>7597.5</v>
      </c>
      <c r="E203" s="20">
        <v>7711.7</v>
      </c>
      <c r="F203" s="14">
        <v>1.5</v>
      </c>
      <c r="G203" s="14">
        <v>1.49</v>
      </c>
      <c r="H203" s="21">
        <v>1074369500</v>
      </c>
      <c r="I203" s="17"/>
      <c r="J203" s="18">
        <f t="shared" si="3"/>
        <v>1.5031260282987801E-2</v>
      </c>
    </row>
    <row r="204" spans="1:10" x14ac:dyDescent="0.25">
      <c r="A204" t="s">
        <v>227</v>
      </c>
      <c r="B204" s="20">
        <v>7711.7</v>
      </c>
      <c r="C204" s="20">
        <v>7733.5</v>
      </c>
      <c r="D204" s="20">
        <v>7692.5</v>
      </c>
      <c r="E204" s="20">
        <v>7728.5</v>
      </c>
      <c r="F204" s="14">
        <v>0.22</v>
      </c>
      <c r="G204" s="14">
        <v>0.2</v>
      </c>
      <c r="H204" s="21">
        <v>619639600</v>
      </c>
      <c r="I204" s="17"/>
      <c r="J204" s="18">
        <f t="shared" si="3"/>
        <v>2.1785079813789673E-3</v>
      </c>
    </row>
    <row r="205" spans="1:10" x14ac:dyDescent="0.25">
      <c r="A205" t="s">
        <v>228</v>
      </c>
      <c r="B205" s="20">
        <v>7728.5</v>
      </c>
      <c r="C205" s="20">
        <v>7748.7</v>
      </c>
      <c r="D205" s="20">
        <v>7706</v>
      </c>
      <c r="E205" s="20">
        <v>7719.2</v>
      </c>
      <c r="F205" s="14">
        <v>-0.12</v>
      </c>
      <c r="G205" s="14">
        <v>-0.14000000000000001</v>
      </c>
      <c r="H205" s="21">
        <v>889469600</v>
      </c>
      <c r="I205" s="17"/>
      <c r="J205" s="18">
        <f t="shared" si="3"/>
        <v>-1.2033382933299063E-3</v>
      </c>
    </row>
    <row r="206" spans="1:10" x14ac:dyDescent="0.25">
      <c r="A206" t="s">
        <v>229</v>
      </c>
      <c r="B206" s="20">
        <v>7719.2</v>
      </c>
      <c r="C206" s="20">
        <v>7719.2</v>
      </c>
      <c r="D206" s="20">
        <v>7642.8</v>
      </c>
      <c r="E206" s="20">
        <v>7662.5</v>
      </c>
      <c r="F206" s="14">
        <v>-0.73</v>
      </c>
      <c r="G206" s="14">
        <v>-0.75</v>
      </c>
      <c r="H206" s="21">
        <v>1271802800</v>
      </c>
      <c r="I206" s="17"/>
      <c r="J206" s="18">
        <f t="shared" si="3"/>
        <v>-7.345320758627814E-3</v>
      </c>
    </row>
    <row r="207" spans="1:10" x14ac:dyDescent="0.25">
      <c r="A207" t="s">
        <v>230</v>
      </c>
      <c r="B207" s="20">
        <v>7662.5</v>
      </c>
      <c r="C207" s="20">
        <v>7702.9</v>
      </c>
      <c r="D207" s="20">
        <v>7651.7</v>
      </c>
      <c r="E207" s="20">
        <v>7684.5</v>
      </c>
      <c r="F207" s="14">
        <v>0.28999999999999998</v>
      </c>
      <c r="G207" s="14">
        <v>0.27</v>
      </c>
      <c r="H207" s="21">
        <v>1408725800</v>
      </c>
      <c r="I207" s="17"/>
      <c r="J207" s="18">
        <f t="shared" si="3"/>
        <v>2.871125611745514E-3</v>
      </c>
    </row>
    <row r="208" spans="1:10" x14ac:dyDescent="0.25">
      <c r="A208" t="s">
        <v>231</v>
      </c>
      <c r="B208" s="20">
        <v>7684.5</v>
      </c>
      <c r="C208" s="20">
        <v>7713.4</v>
      </c>
      <c r="D208" s="20">
        <v>7675.2</v>
      </c>
      <c r="E208" s="20">
        <v>7706.3</v>
      </c>
      <c r="F208" s="14">
        <v>0.28000000000000003</v>
      </c>
      <c r="G208" s="14">
        <v>0.27</v>
      </c>
      <c r="H208" s="21">
        <v>1080901500</v>
      </c>
      <c r="I208" s="17"/>
      <c r="J208" s="18">
        <f t="shared" si="3"/>
        <v>2.8368794326241371E-3</v>
      </c>
    </row>
    <row r="209" spans="1:10" x14ac:dyDescent="0.25">
      <c r="A209" t="s">
        <v>232</v>
      </c>
      <c r="B209" s="20">
        <v>7706.3</v>
      </c>
      <c r="C209" s="20">
        <v>7710.8</v>
      </c>
      <c r="D209" s="20">
        <v>7676.8</v>
      </c>
      <c r="E209" s="20">
        <v>7684.3</v>
      </c>
      <c r="F209" s="14">
        <v>-0.28999999999999998</v>
      </c>
      <c r="G209" s="14">
        <v>-0.3</v>
      </c>
      <c r="H209" s="21">
        <v>1210391900</v>
      </c>
      <c r="I209" s="17"/>
      <c r="J209" s="18">
        <f t="shared" si="3"/>
        <v>-2.8548071058744143E-3</v>
      </c>
    </row>
    <row r="210" spans="1:10" x14ac:dyDescent="0.25">
      <c r="A210" t="s">
        <v>233</v>
      </c>
      <c r="B210" s="20">
        <v>7684.3</v>
      </c>
      <c r="C210" s="20">
        <v>7698.3</v>
      </c>
      <c r="D210" s="20">
        <v>7669.7</v>
      </c>
      <c r="E210" s="20">
        <v>7683</v>
      </c>
      <c r="F210" s="14">
        <v>-0.02</v>
      </c>
      <c r="G210" s="14">
        <v>-0.04</v>
      </c>
      <c r="H210" s="21">
        <v>1132154000</v>
      </c>
      <c r="I210" s="17"/>
      <c r="J210" s="18">
        <f t="shared" si="3"/>
        <v>-1.6917611233296226E-4</v>
      </c>
    </row>
    <row r="211" spans="1:10" x14ac:dyDescent="0.25">
      <c r="A211" t="s">
        <v>234</v>
      </c>
      <c r="B211" s="20">
        <v>7683</v>
      </c>
      <c r="C211" s="20">
        <v>7693.2</v>
      </c>
      <c r="D211" s="20">
        <v>7620.4</v>
      </c>
      <c r="E211" s="20">
        <v>7625</v>
      </c>
      <c r="F211" s="14">
        <v>-0.75</v>
      </c>
      <c r="G211" s="14">
        <v>-0.77</v>
      </c>
      <c r="H211" s="21">
        <v>1227847900</v>
      </c>
      <c r="I211" s="17"/>
      <c r="J211" s="18">
        <f t="shared" si="3"/>
        <v>-7.5491344526877526E-3</v>
      </c>
    </row>
    <row r="212" spans="1:10" x14ac:dyDescent="0.25">
      <c r="A212" t="s">
        <v>235</v>
      </c>
      <c r="B212" s="20">
        <v>7625</v>
      </c>
      <c r="C212" s="20">
        <v>7677.7</v>
      </c>
      <c r="D212" s="20">
        <v>7622.9</v>
      </c>
      <c r="E212" s="20">
        <v>7630</v>
      </c>
      <c r="F212" s="14">
        <v>7.0000000000000007E-2</v>
      </c>
      <c r="G212" s="14">
        <v>0.05</v>
      </c>
      <c r="H212" s="21">
        <v>2026489200</v>
      </c>
      <c r="I212" s="17"/>
      <c r="J212" s="18">
        <f t="shared" si="3"/>
        <v>6.5573770491803279E-4</v>
      </c>
    </row>
    <row r="213" spans="1:10" x14ac:dyDescent="0.25">
      <c r="A213" t="s">
        <v>236</v>
      </c>
      <c r="B213" s="20">
        <v>7630</v>
      </c>
      <c r="C213" s="20">
        <v>7695.6</v>
      </c>
      <c r="D213" s="20">
        <v>7630</v>
      </c>
      <c r="E213" s="20">
        <v>7682.5</v>
      </c>
      <c r="F213" s="14">
        <v>0.69</v>
      </c>
      <c r="G213" s="14">
        <v>0.67</v>
      </c>
      <c r="H213" s="21">
        <v>1307043500</v>
      </c>
      <c r="I213" s="17"/>
      <c r="J213" s="18">
        <f t="shared" si="3"/>
        <v>6.8807339449541288E-3</v>
      </c>
    </row>
    <row r="214" spans="1:10" x14ac:dyDescent="0.25">
      <c r="A214" t="s">
        <v>237</v>
      </c>
      <c r="B214" s="20">
        <v>7682.5</v>
      </c>
      <c r="C214" s="20">
        <v>7682.6</v>
      </c>
      <c r="D214" s="20">
        <v>7623.2</v>
      </c>
      <c r="E214" s="20">
        <v>7640.3</v>
      </c>
      <c r="F214" s="14">
        <v>-0.55000000000000004</v>
      </c>
      <c r="G214" s="14">
        <v>-0.56999999999999995</v>
      </c>
      <c r="H214" s="21">
        <v>1075053400</v>
      </c>
      <c r="I214" s="17"/>
      <c r="J214" s="18">
        <f t="shared" si="3"/>
        <v>-5.4930035795639201E-3</v>
      </c>
    </row>
    <row r="215" spans="1:10" x14ac:dyDescent="0.25">
      <c r="A215" t="s">
        <v>238</v>
      </c>
      <c r="B215" s="20">
        <v>7640.3</v>
      </c>
      <c r="C215" s="20">
        <v>7654.8</v>
      </c>
      <c r="D215" s="20">
        <v>7598.5</v>
      </c>
      <c r="E215" s="20">
        <v>7646.2</v>
      </c>
      <c r="F215" s="14">
        <v>0.08</v>
      </c>
      <c r="G215" s="14">
        <v>0.06</v>
      </c>
      <c r="H215" s="21">
        <v>906735400</v>
      </c>
      <c r="I215" s="17"/>
      <c r="J215" s="18">
        <f t="shared" si="3"/>
        <v>7.7222098608688608E-4</v>
      </c>
    </row>
    <row r="216" spans="1:10" x14ac:dyDescent="0.25">
      <c r="A216" t="s">
        <v>239</v>
      </c>
      <c r="B216" s="20">
        <v>7646.2</v>
      </c>
      <c r="C216" s="20">
        <v>7701.3</v>
      </c>
      <c r="D216" s="20">
        <v>7639</v>
      </c>
      <c r="E216" s="20">
        <v>7679.3</v>
      </c>
      <c r="F216" s="14">
        <v>0.43</v>
      </c>
      <c r="G216" s="14">
        <v>0.41</v>
      </c>
      <c r="H216" s="21">
        <v>1392688900</v>
      </c>
      <c r="I216" s="17"/>
      <c r="J216" s="18">
        <f t="shared" si="3"/>
        <v>4.3289477125893075E-3</v>
      </c>
    </row>
    <row r="217" spans="1:10" x14ac:dyDescent="0.25">
      <c r="A217" t="s">
        <v>240</v>
      </c>
      <c r="B217" s="20">
        <v>7679.3</v>
      </c>
      <c r="C217" s="20">
        <v>7711.8</v>
      </c>
      <c r="D217" s="20">
        <v>7645.1</v>
      </c>
      <c r="E217" s="20">
        <v>7692.5</v>
      </c>
      <c r="F217" s="14">
        <v>0.17</v>
      </c>
      <c r="G217" s="14">
        <v>0.15</v>
      </c>
      <c r="H217" s="21">
        <v>1470190800</v>
      </c>
      <c r="I217" s="17"/>
      <c r="J217" s="18">
        <f t="shared" si="3"/>
        <v>1.7189066711809434E-3</v>
      </c>
    </row>
    <row r="218" spans="1:10" x14ac:dyDescent="0.25">
      <c r="A218" t="s">
        <v>241</v>
      </c>
      <c r="B218" s="20">
        <v>7692.5</v>
      </c>
      <c r="C218" s="20">
        <v>7693.9</v>
      </c>
      <c r="D218" s="20">
        <v>7646.2</v>
      </c>
      <c r="E218" s="20">
        <v>7659.7</v>
      </c>
      <c r="F218" s="14">
        <v>-0.43</v>
      </c>
      <c r="G218" s="14">
        <v>-0.44</v>
      </c>
      <c r="H218" s="21">
        <v>927297500</v>
      </c>
      <c r="I218" s="17"/>
      <c r="J218" s="18">
        <f t="shared" si="3"/>
        <v>-4.2638934026649573E-3</v>
      </c>
    </row>
    <row r="219" spans="1:10" x14ac:dyDescent="0.25">
      <c r="A219" t="s">
        <v>242</v>
      </c>
      <c r="B219" s="20">
        <v>7659.7</v>
      </c>
      <c r="C219" s="20">
        <v>7669.2</v>
      </c>
      <c r="D219" s="20">
        <v>7612.6</v>
      </c>
      <c r="E219" s="20">
        <v>7669.2</v>
      </c>
      <c r="F219" s="14">
        <v>0.12</v>
      </c>
      <c r="G219" s="14">
        <v>0.11</v>
      </c>
      <c r="H219" s="21">
        <v>1203377500</v>
      </c>
      <c r="I219" s="17"/>
      <c r="J219" s="18">
        <f t="shared" si="3"/>
        <v>1.2402574513362143E-3</v>
      </c>
    </row>
    <row r="220" spans="1:10" x14ac:dyDescent="0.25">
      <c r="A220" t="s">
        <v>243</v>
      </c>
      <c r="B220" s="20">
        <v>7669.2</v>
      </c>
      <c r="C220" s="20">
        <v>7764.6</v>
      </c>
      <c r="D220" s="20">
        <v>7669.2</v>
      </c>
      <c r="E220" s="20">
        <v>7747.8</v>
      </c>
      <c r="F220" s="14">
        <v>1.02</v>
      </c>
      <c r="G220" s="14">
        <v>1.01</v>
      </c>
      <c r="H220" s="21">
        <v>1136566100</v>
      </c>
      <c r="I220" s="17"/>
      <c r="J220" s="18">
        <f t="shared" si="3"/>
        <v>1.024878735722114E-2</v>
      </c>
    </row>
    <row r="221" spans="1:10" x14ac:dyDescent="0.25">
      <c r="A221" t="s">
        <v>244</v>
      </c>
      <c r="B221" s="20">
        <v>7747.8</v>
      </c>
      <c r="C221" s="20">
        <v>7785.7</v>
      </c>
      <c r="D221" s="20">
        <v>7738.7</v>
      </c>
      <c r="E221" s="20">
        <v>7772.2</v>
      </c>
      <c r="F221" s="14">
        <v>0.31</v>
      </c>
      <c r="G221" s="14">
        <v>0.3</v>
      </c>
      <c r="H221" s="21">
        <v>1336746300</v>
      </c>
      <c r="I221" s="17"/>
      <c r="J221" s="18">
        <f t="shared" si="3"/>
        <v>3.1492810862437898E-3</v>
      </c>
    </row>
    <row r="222" spans="1:10" x14ac:dyDescent="0.25">
      <c r="A222" t="s">
        <v>245</v>
      </c>
      <c r="B222" s="20">
        <v>7772.2</v>
      </c>
      <c r="C222" s="20">
        <v>7778.4</v>
      </c>
      <c r="D222" s="20">
        <v>7719.1</v>
      </c>
      <c r="E222" s="20">
        <v>7743.2</v>
      </c>
      <c r="F222" s="14">
        <v>-0.37</v>
      </c>
      <c r="G222" s="14">
        <v>-0.39</v>
      </c>
      <c r="H222" s="21">
        <v>973121100</v>
      </c>
      <c r="I222" s="17"/>
      <c r="J222" s="18">
        <f t="shared" si="3"/>
        <v>-3.7312472658964E-3</v>
      </c>
    </row>
    <row r="223" spans="1:10" x14ac:dyDescent="0.25">
      <c r="A223" t="s">
        <v>246</v>
      </c>
      <c r="B223" s="20">
        <v>7743.2</v>
      </c>
      <c r="C223" s="20">
        <v>7761.1</v>
      </c>
      <c r="D223" s="20">
        <v>7727.4</v>
      </c>
      <c r="E223" s="20">
        <v>7727.4</v>
      </c>
      <c r="F223" s="14">
        <v>-0.2</v>
      </c>
      <c r="G223" s="14">
        <v>-0.22</v>
      </c>
      <c r="H223" s="21">
        <v>2813498300</v>
      </c>
      <c r="I223" s="17"/>
      <c r="J223" s="18">
        <f t="shared" si="3"/>
        <v>-2.0405000516582525E-3</v>
      </c>
    </row>
    <row r="224" spans="1:10" x14ac:dyDescent="0.25">
      <c r="A224" t="s">
        <v>247</v>
      </c>
      <c r="B224" s="20">
        <v>7727.4</v>
      </c>
      <c r="C224" s="20">
        <v>7750.2</v>
      </c>
      <c r="D224" s="20">
        <v>7714.9</v>
      </c>
      <c r="E224" s="20">
        <v>7722.6</v>
      </c>
      <c r="F224" s="14">
        <v>-0.06</v>
      </c>
      <c r="G224" s="14">
        <v>-0.08</v>
      </c>
      <c r="H224" s="21">
        <v>1034442400</v>
      </c>
      <c r="I224" s="17"/>
      <c r="J224" s="18">
        <f t="shared" si="3"/>
        <v>-6.211662396147828E-4</v>
      </c>
    </row>
    <row r="225" spans="1:10" x14ac:dyDescent="0.25">
      <c r="A225" t="s">
        <v>248</v>
      </c>
      <c r="B225" s="20">
        <v>7722.6</v>
      </c>
      <c r="C225" s="20">
        <v>7739.7</v>
      </c>
      <c r="D225" s="20">
        <v>7699.6</v>
      </c>
      <c r="E225" s="20">
        <v>7738.3</v>
      </c>
      <c r="F225" s="14">
        <v>0.2</v>
      </c>
      <c r="G225" s="14">
        <v>0.19</v>
      </c>
      <c r="H225" s="21">
        <v>1085005200</v>
      </c>
      <c r="I225" s="17"/>
      <c r="J225" s="18">
        <f t="shared" si="3"/>
        <v>2.0329940693548567E-3</v>
      </c>
    </row>
    <row r="226" spans="1:10" x14ac:dyDescent="0.25">
      <c r="A226" t="s">
        <v>249</v>
      </c>
      <c r="B226" s="20">
        <v>7738.3</v>
      </c>
      <c r="C226" s="20">
        <v>7749.4</v>
      </c>
      <c r="D226" s="20">
        <v>7711.5</v>
      </c>
      <c r="E226" s="20">
        <v>7737.4</v>
      </c>
      <c r="F226" s="14">
        <v>-0.01</v>
      </c>
      <c r="G226" s="14">
        <v>-0.03</v>
      </c>
      <c r="H226" s="21">
        <v>1032409800</v>
      </c>
      <c r="I226" s="17"/>
      <c r="J226" s="18">
        <f t="shared" si="3"/>
        <v>-1.1630461470872746E-4</v>
      </c>
    </row>
    <row r="227" spans="1:10" x14ac:dyDescent="0.25">
      <c r="A227" t="s">
        <v>250</v>
      </c>
      <c r="B227" s="20">
        <v>7737.4</v>
      </c>
      <c r="C227" s="20">
        <v>7901.8</v>
      </c>
      <c r="D227" s="20">
        <v>7737.4</v>
      </c>
      <c r="E227" s="20">
        <v>7882.6</v>
      </c>
      <c r="F227" s="14">
        <v>1.88</v>
      </c>
      <c r="G227" s="14">
        <v>1.86</v>
      </c>
      <c r="H227" s="21">
        <v>1352537800</v>
      </c>
      <c r="I227" s="17"/>
      <c r="J227" s="18">
        <f t="shared" si="3"/>
        <v>1.8765993744668846E-2</v>
      </c>
    </row>
    <row r="228" spans="1:10" x14ac:dyDescent="0.25">
      <c r="A228" t="s">
        <v>251</v>
      </c>
      <c r="B228" s="20">
        <v>7882.6</v>
      </c>
      <c r="C228" s="20">
        <v>7961.4</v>
      </c>
      <c r="D228" s="20">
        <v>7882.2</v>
      </c>
      <c r="E228" s="20">
        <v>7930.9</v>
      </c>
      <c r="F228" s="14">
        <v>0.61</v>
      </c>
      <c r="G228" s="14">
        <v>0.59</v>
      </c>
      <c r="H228" s="21">
        <v>1056237300</v>
      </c>
      <c r="I228" s="17"/>
      <c r="J228" s="18">
        <f t="shared" si="3"/>
        <v>6.127419886839275E-3</v>
      </c>
    </row>
    <row r="229" spans="1:10" x14ac:dyDescent="0.25">
      <c r="A229" t="s">
        <v>252</v>
      </c>
      <c r="B229" s="20">
        <v>7930.9</v>
      </c>
      <c r="C229" s="20">
        <v>7939.4</v>
      </c>
      <c r="D229" s="20">
        <v>7891.7</v>
      </c>
      <c r="E229" s="20">
        <v>7917.6</v>
      </c>
      <c r="F229" s="14">
        <v>-0.17</v>
      </c>
      <c r="G229" s="14">
        <v>-0.19</v>
      </c>
      <c r="H229" s="21">
        <v>1070739800</v>
      </c>
      <c r="I229" s="17"/>
      <c r="J229" s="18">
        <f t="shared" si="3"/>
        <v>-1.676984957570928E-3</v>
      </c>
    </row>
    <row r="230" spans="1:10" x14ac:dyDescent="0.25">
      <c r="A230" t="s">
        <v>253</v>
      </c>
      <c r="B230" s="20">
        <v>7917.6</v>
      </c>
      <c r="C230" s="20">
        <v>7934.4</v>
      </c>
      <c r="D230" s="20">
        <v>7892.1</v>
      </c>
      <c r="E230" s="20">
        <v>7931</v>
      </c>
      <c r="F230" s="14">
        <v>0.17</v>
      </c>
      <c r="G230" s="14">
        <v>0.15</v>
      </c>
      <c r="H230" s="21">
        <v>1278455500</v>
      </c>
      <c r="I230" s="17"/>
      <c r="J230" s="18">
        <f t="shared" si="3"/>
        <v>1.6924320501161508E-3</v>
      </c>
    </row>
    <row r="231" spans="1:10" x14ac:dyDescent="0.25">
      <c r="A231" t="s">
        <v>254</v>
      </c>
      <c r="B231" s="20">
        <v>7931</v>
      </c>
      <c r="C231" s="20">
        <v>7938.1</v>
      </c>
      <c r="D231" s="20">
        <v>7893</v>
      </c>
      <c r="E231" s="20">
        <v>7932</v>
      </c>
      <c r="F231" s="14">
        <v>0.01</v>
      </c>
      <c r="G231" s="14">
        <v>-0.01</v>
      </c>
      <c r="H231" s="21">
        <v>1017867800</v>
      </c>
      <c r="I231" s="17"/>
      <c r="J231" s="18">
        <f t="shared" si="3"/>
        <v>1.2608750472828143E-4</v>
      </c>
    </row>
    <row r="232" spans="1:10" x14ac:dyDescent="0.25">
      <c r="A232" t="s">
        <v>255</v>
      </c>
      <c r="B232" s="20">
        <v>7932</v>
      </c>
      <c r="C232" s="20">
        <v>7975.4</v>
      </c>
      <c r="D232" s="20">
        <v>7931.4</v>
      </c>
      <c r="E232" s="20">
        <v>7952.6</v>
      </c>
      <c r="F232" s="14">
        <v>0.26</v>
      </c>
      <c r="G232" s="14">
        <v>0.24</v>
      </c>
      <c r="H232" s="21">
        <v>1051189700</v>
      </c>
      <c r="I232" s="17"/>
      <c r="J232" s="18">
        <f t="shared" si="3"/>
        <v>2.5970751386788153E-3</v>
      </c>
    </row>
    <row r="233" spans="1:10" x14ac:dyDescent="0.25">
      <c r="A233" t="s">
        <v>256</v>
      </c>
      <c r="B233" s="20">
        <v>7952.6</v>
      </c>
      <c r="C233" s="20">
        <v>8015.6</v>
      </c>
      <c r="D233" s="20">
        <v>7928.6</v>
      </c>
      <c r="E233" s="20">
        <v>7935.1</v>
      </c>
      <c r="F233" s="14">
        <v>-0.22</v>
      </c>
      <c r="G233" s="14">
        <v>-0.24</v>
      </c>
      <c r="H233" s="21">
        <v>1126449500</v>
      </c>
      <c r="I233" s="17"/>
      <c r="J233" s="18">
        <f t="shared" si="3"/>
        <v>-2.2005381887684528E-3</v>
      </c>
    </row>
    <row r="234" spans="1:10" x14ac:dyDescent="0.25">
      <c r="A234" t="s">
        <v>257</v>
      </c>
      <c r="B234" s="20">
        <v>7935.1</v>
      </c>
      <c r="C234" s="20">
        <v>7937.4</v>
      </c>
      <c r="D234" s="20">
        <v>7882.7</v>
      </c>
      <c r="E234" s="20">
        <v>7937.4</v>
      </c>
      <c r="F234" s="14">
        <v>0.03</v>
      </c>
      <c r="G234" s="14">
        <v>0.01</v>
      </c>
      <c r="H234" s="21">
        <v>1131676800</v>
      </c>
      <c r="I234" s="17"/>
      <c r="J234" s="18">
        <f t="shared" si="3"/>
        <v>2.8985141964175276E-4</v>
      </c>
    </row>
    <row r="235" spans="1:10" x14ac:dyDescent="0.25">
      <c r="A235" t="s">
        <v>258</v>
      </c>
      <c r="B235" s="20">
        <v>7937.4</v>
      </c>
      <c r="C235" s="20">
        <v>7990.4</v>
      </c>
      <c r="D235" s="20">
        <v>7937.4</v>
      </c>
      <c r="E235" s="20">
        <v>7975.9</v>
      </c>
      <c r="F235" s="14">
        <v>0.49</v>
      </c>
      <c r="G235" s="14">
        <v>0.47</v>
      </c>
      <c r="H235" s="21">
        <v>1138495500</v>
      </c>
      <c r="I235" s="17"/>
      <c r="J235" s="18">
        <f t="shared" si="3"/>
        <v>4.8504548088794822E-3</v>
      </c>
    </row>
    <row r="236" spans="1:10" x14ac:dyDescent="0.25">
      <c r="A236" t="s">
        <v>259</v>
      </c>
      <c r="B236" s="20">
        <v>7975.9</v>
      </c>
      <c r="C236" s="20">
        <v>7975.9</v>
      </c>
      <c r="D236" s="20">
        <v>7884.5</v>
      </c>
      <c r="E236" s="20">
        <v>7911.2</v>
      </c>
      <c r="F236" s="14">
        <v>-0.81</v>
      </c>
      <c r="G236" s="14">
        <v>-0.83</v>
      </c>
      <c r="H236" s="21">
        <v>951509100</v>
      </c>
      <c r="I236" s="17"/>
      <c r="J236" s="18">
        <f t="shared" si="3"/>
        <v>-8.1119372108476567E-3</v>
      </c>
    </row>
    <row r="237" spans="1:10" x14ac:dyDescent="0.25">
      <c r="A237" t="s">
        <v>260</v>
      </c>
      <c r="B237" s="20">
        <v>7911.2</v>
      </c>
      <c r="C237" s="20">
        <v>7953.2</v>
      </c>
      <c r="D237" s="20">
        <v>7887.9</v>
      </c>
      <c r="E237" s="20">
        <v>7943.5</v>
      </c>
      <c r="F237" s="14">
        <v>0.41</v>
      </c>
      <c r="G237" s="14">
        <v>0.39</v>
      </c>
      <c r="H237" s="21">
        <v>847327700</v>
      </c>
      <c r="I237" s="17"/>
      <c r="J237" s="18">
        <f t="shared" si="3"/>
        <v>4.0828192941652569E-3</v>
      </c>
    </row>
    <row r="238" spans="1:10" x14ac:dyDescent="0.25">
      <c r="A238" t="s">
        <v>261</v>
      </c>
      <c r="B238" s="20">
        <v>7943.5</v>
      </c>
      <c r="C238" s="20">
        <v>7962.8</v>
      </c>
      <c r="D238" s="20">
        <v>7917.5</v>
      </c>
      <c r="E238" s="20">
        <v>7934.8</v>
      </c>
      <c r="F238" s="14">
        <v>-0.11</v>
      </c>
      <c r="G238" s="14">
        <v>-0.13</v>
      </c>
      <c r="H238" s="21">
        <v>1000931200</v>
      </c>
      <c r="I238" s="17"/>
      <c r="J238" s="18">
        <f t="shared" si="3"/>
        <v>-1.0952350978787459E-3</v>
      </c>
    </row>
    <row r="239" spans="1:10" x14ac:dyDescent="0.25">
      <c r="A239" t="s">
        <v>262</v>
      </c>
      <c r="B239" s="20">
        <v>7934.8</v>
      </c>
      <c r="C239" s="20">
        <v>7999.8</v>
      </c>
      <c r="D239" s="20">
        <v>7916.5</v>
      </c>
      <c r="E239" s="20">
        <v>7961.2</v>
      </c>
      <c r="F239" s="14">
        <v>0.33</v>
      </c>
      <c r="G239" s="14">
        <v>0.31</v>
      </c>
      <c r="H239" s="21">
        <v>1207706000</v>
      </c>
      <c r="I239" s="17"/>
      <c r="J239" s="18">
        <f t="shared" si="3"/>
        <v>3.3271159953621558E-3</v>
      </c>
    </row>
    <row r="240" spans="1:10" x14ac:dyDescent="0.25">
      <c r="A240" t="s">
        <v>263</v>
      </c>
      <c r="B240" s="20">
        <v>7961.2</v>
      </c>
      <c r="C240" s="20">
        <v>7970.1</v>
      </c>
      <c r="D240" s="20">
        <v>7886.9</v>
      </c>
      <c r="E240" s="20">
        <v>7923.8</v>
      </c>
      <c r="F240" s="14">
        <v>-0.47</v>
      </c>
      <c r="G240" s="14">
        <v>-0.49</v>
      </c>
      <c r="H240" s="21">
        <v>1197883800</v>
      </c>
      <c r="I240" s="17"/>
      <c r="J240" s="18">
        <f t="shared" si="3"/>
        <v>-4.6977842536300605E-3</v>
      </c>
    </row>
    <row r="241" spans="1:10" x14ac:dyDescent="0.25">
      <c r="A241" t="s">
        <v>264</v>
      </c>
      <c r="B241" s="20">
        <v>7923.8</v>
      </c>
      <c r="C241" s="20">
        <v>8045</v>
      </c>
      <c r="D241" s="20">
        <v>7923.8</v>
      </c>
      <c r="E241" s="20">
        <v>7995.6</v>
      </c>
      <c r="F241" s="14">
        <v>0.91</v>
      </c>
      <c r="G241" s="14">
        <v>0.89</v>
      </c>
      <c r="H241" s="21">
        <v>937766700</v>
      </c>
      <c r="I241" s="17"/>
      <c r="J241" s="18">
        <f t="shared" si="3"/>
        <v>9.0613089679194552E-3</v>
      </c>
    </row>
    <row r="242" spans="1:10" x14ac:dyDescent="0.25">
      <c r="A242" t="s">
        <v>265</v>
      </c>
      <c r="B242" s="20">
        <v>7995.6</v>
      </c>
      <c r="C242" s="20">
        <v>8009.5</v>
      </c>
      <c r="D242" s="20">
        <v>7952.1</v>
      </c>
      <c r="E242" s="20">
        <v>7965.5</v>
      </c>
      <c r="F242" s="14">
        <v>-0.38</v>
      </c>
      <c r="G242" s="14">
        <v>-0.39</v>
      </c>
      <c r="H242" s="21">
        <v>820441500</v>
      </c>
      <c r="I242" s="17"/>
      <c r="J242" s="18">
        <f t="shared" si="3"/>
        <v>-3.7645705137826259E-3</v>
      </c>
    </row>
    <row r="243" spans="1:10" x14ac:dyDescent="0.25">
      <c r="A243" t="s">
        <v>266</v>
      </c>
      <c r="B243" s="20">
        <v>7965.5</v>
      </c>
      <c r="C243" s="20">
        <v>7965.5</v>
      </c>
      <c r="D243" s="20">
        <v>7793.9</v>
      </c>
      <c r="E243" s="20">
        <v>7820.4</v>
      </c>
      <c r="F243" s="14">
        <v>-1.82</v>
      </c>
      <c r="G243" s="14">
        <v>-1.84</v>
      </c>
      <c r="H243" s="21">
        <v>1058250300</v>
      </c>
      <c r="I243" s="17"/>
      <c r="J243" s="18">
        <f t="shared" si="3"/>
        <v>-1.8216056744711613E-2</v>
      </c>
    </row>
    <row r="244" spans="1:10" x14ac:dyDescent="0.25">
      <c r="A244" t="s">
        <v>267</v>
      </c>
      <c r="B244" s="20">
        <v>7820.4</v>
      </c>
      <c r="C244" s="20">
        <v>7893.6</v>
      </c>
      <c r="D244" s="20">
        <v>7798.6</v>
      </c>
      <c r="E244" s="20">
        <v>7848</v>
      </c>
      <c r="F244" s="14">
        <v>0.35</v>
      </c>
      <c r="G244" s="14">
        <v>0.33</v>
      </c>
      <c r="H244" s="21">
        <v>939573900</v>
      </c>
      <c r="I244" s="17"/>
      <c r="J244" s="18">
        <f t="shared" si="3"/>
        <v>3.5292312413687747E-3</v>
      </c>
    </row>
    <row r="245" spans="1:10" x14ac:dyDescent="0.25">
      <c r="A245" t="s">
        <v>268</v>
      </c>
      <c r="B245" s="20">
        <v>7848</v>
      </c>
      <c r="C245" s="20">
        <v>7898.8</v>
      </c>
      <c r="D245" s="20">
        <v>7845.9</v>
      </c>
      <c r="E245" s="20">
        <v>7877.1</v>
      </c>
      <c r="F245" s="14">
        <v>0.37</v>
      </c>
      <c r="G245" s="14">
        <v>0.35</v>
      </c>
      <c r="H245" s="21">
        <v>1222486300</v>
      </c>
      <c r="I245" s="17"/>
      <c r="J245" s="18">
        <f t="shared" si="3"/>
        <v>3.7079510703364378E-3</v>
      </c>
    </row>
    <row r="246" spans="1:10" x14ac:dyDescent="0.25">
      <c r="A246" t="s">
        <v>269</v>
      </c>
      <c r="B246" s="20">
        <v>7877.1</v>
      </c>
      <c r="C246" s="20">
        <v>7900.5</v>
      </c>
      <c r="D246" s="20">
        <v>7809.7</v>
      </c>
      <c r="E246" s="20">
        <v>7895.9</v>
      </c>
      <c r="F246" s="14">
        <v>0.24</v>
      </c>
      <c r="G246" s="14">
        <v>0.22</v>
      </c>
      <c r="H246" s="21">
        <v>982567400</v>
      </c>
      <c r="I246" s="17"/>
      <c r="J246" s="18">
        <f t="shared" si="3"/>
        <v>2.386665143263291E-3</v>
      </c>
    </row>
    <row r="247" spans="1:10" x14ac:dyDescent="0.25">
      <c r="A247" t="s">
        <v>270</v>
      </c>
      <c r="B247" s="20">
        <v>7895.9</v>
      </c>
      <c r="C247" s="20">
        <v>8042.8</v>
      </c>
      <c r="D247" s="20">
        <v>7895.9</v>
      </c>
      <c r="E247" s="20">
        <v>8023.9</v>
      </c>
      <c r="F247" s="14">
        <v>1.62</v>
      </c>
      <c r="G247" s="14">
        <v>1.6</v>
      </c>
      <c r="H247" s="21">
        <v>1085332800</v>
      </c>
      <c r="I247" s="17"/>
      <c r="J247" s="18">
        <f t="shared" si="3"/>
        <v>1.6210944920781671E-2</v>
      </c>
    </row>
    <row r="248" spans="1:10" x14ac:dyDescent="0.25">
      <c r="A248" t="s">
        <v>271</v>
      </c>
      <c r="B248" s="20">
        <v>8023.9</v>
      </c>
      <c r="C248" s="20">
        <v>8076.5</v>
      </c>
      <c r="D248" s="20">
        <v>8021.7</v>
      </c>
      <c r="E248" s="20">
        <v>8044.8</v>
      </c>
      <c r="F248" s="14">
        <v>0.26</v>
      </c>
      <c r="G248" s="14">
        <v>0.24</v>
      </c>
      <c r="H248" s="21">
        <v>1082600700</v>
      </c>
      <c r="I248" s="17"/>
      <c r="J248" s="18">
        <f t="shared" si="3"/>
        <v>2.604718403768809E-3</v>
      </c>
    </row>
    <row r="249" spans="1:10" x14ac:dyDescent="0.25">
      <c r="A249" t="s">
        <v>272</v>
      </c>
      <c r="B249" s="20">
        <v>8044.8</v>
      </c>
      <c r="C249" s="20">
        <v>8092.2</v>
      </c>
      <c r="D249" s="20">
        <v>8031.8</v>
      </c>
      <c r="E249" s="20">
        <v>8040.4</v>
      </c>
      <c r="F249" s="14">
        <v>-0.05</v>
      </c>
      <c r="G249" s="14">
        <v>-7.0000000000000007E-2</v>
      </c>
      <c r="H249" s="21">
        <v>1420290700</v>
      </c>
      <c r="I249" s="17"/>
      <c r="J249" s="18">
        <f t="shared" si="3"/>
        <v>-5.4693715194915297E-4</v>
      </c>
    </row>
    <row r="250" spans="1:10" x14ac:dyDescent="0.25">
      <c r="A250" t="s">
        <v>273</v>
      </c>
      <c r="B250" s="20">
        <v>8040.38</v>
      </c>
      <c r="C250" s="20">
        <v>8102.14</v>
      </c>
      <c r="D250" s="20">
        <v>8030.05</v>
      </c>
      <c r="E250" s="20">
        <v>8087.27</v>
      </c>
      <c r="F250" s="14">
        <v>0.57999999999999996</v>
      </c>
      <c r="G250" s="14">
        <v>0.56000000000000005</v>
      </c>
      <c r="H250" s="14" t="s">
        <v>274</v>
      </c>
      <c r="J250" s="18">
        <f t="shared" si="3"/>
        <v>5.8293119745287305E-3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3138-326E-4811-BE89-166A03CBFC7D}">
  <dimension ref="A1:G8"/>
  <sheetViews>
    <sheetView topLeftCell="B1" zoomScale="130" zoomScaleNormal="130" workbookViewId="0">
      <selection activeCell="E12" sqref="E12"/>
    </sheetView>
  </sheetViews>
  <sheetFormatPr defaultRowHeight="18.75" x14ac:dyDescent="0.3"/>
  <cols>
    <col min="1" max="3" width="25.42578125" style="27" customWidth="1"/>
    <col min="4" max="4" width="25.42578125" style="14" customWidth="1"/>
    <col min="5" max="5" width="24.42578125" bestFit="1" customWidth="1"/>
    <col min="6" max="6" width="19.28515625" customWidth="1"/>
  </cols>
  <sheetData>
    <row r="1" spans="1:7" ht="38.25" thickBot="1" x14ac:dyDescent="0.3">
      <c r="A1" s="23" t="s">
        <v>11</v>
      </c>
      <c r="B1" s="24" t="s">
        <v>12</v>
      </c>
      <c r="C1" s="24" t="s">
        <v>13</v>
      </c>
      <c r="D1" s="26" t="s">
        <v>279</v>
      </c>
      <c r="E1" s="23" t="s">
        <v>281</v>
      </c>
      <c r="F1" s="23" t="s">
        <v>282</v>
      </c>
    </row>
    <row r="2" spans="1:7" ht="19.5" thickBot="1" x14ac:dyDescent="0.3">
      <c r="A2" s="25">
        <v>1997</v>
      </c>
      <c r="B2" s="26">
        <v>31.29</v>
      </c>
      <c r="C2" s="26">
        <v>5.26</v>
      </c>
      <c r="D2" s="26">
        <f>B2-C2</f>
        <v>26.03</v>
      </c>
      <c r="E2" s="26">
        <f>D2-$D$7</f>
        <v>19.649999999999999</v>
      </c>
      <c r="F2" s="26">
        <f>E2^2</f>
        <v>386.12249999999995</v>
      </c>
    </row>
    <row r="3" spans="1:7" ht="19.5" thickBot="1" x14ac:dyDescent="0.3">
      <c r="A3" s="25">
        <v>1998</v>
      </c>
      <c r="B3" s="26">
        <v>23.43</v>
      </c>
      <c r="C3" s="26">
        <v>4.8600000000000003</v>
      </c>
      <c r="D3" s="26">
        <f t="shared" ref="D3:D6" si="0">B3-C3</f>
        <v>18.57</v>
      </c>
      <c r="E3" s="26">
        <f t="shared" ref="E3:E6" si="1">D3-$D$7</f>
        <v>12.19</v>
      </c>
      <c r="F3" s="26">
        <f t="shared" ref="F3:F6" si="2">E3^2</f>
        <v>148.59609999999998</v>
      </c>
    </row>
    <row r="4" spans="1:7" ht="19.5" thickBot="1" x14ac:dyDescent="0.3">
      <c r="A4" s="25">
        <v>1999</v>
      </c>
      <c r="B4" s="26">
        <v>23.56</v>
      </c>
      <c r="C4" s="26">
        <v>4.68</v>
      </c>
      <c r="D4" s="26">
        <f t="shared" si="0"/>
        <v>18.88</v>
      </c>
      <c r="E4" s="26">
        <f t="shared" si="1"/>
        <v>12.499999999999998</v>
      </c>
      <c r="F4" s="26">
        <f t="shared" si="2"/>
        <v>156.24999999999994</v>
      </c>
    </row>
    <row r="5" spans="1:7" ht="19.5" thickBot="1" x14ac:dyDescent="0.3">
      <c r="A5" s="25">
        <v>2000</v>
      </c>
      <c r="B5" s="26">
        <v>-10.89</v>
      </c>
      <c r="C5" s="26">
        <v>5.89</v>
      </c>
      <c r="D5" s="26">
        <f t="shared" si="0"/>
        <v>-16.78</v>
      </c>
      <c r="E5" s="26">
        <f t="shared" si="1"/>
        <v>-23.160000000000004</v>
      </c>
      <c r="F5" s="26">
        <f t="shared" si="2"/>
        <v>536.38560000000018</v>
      </c>
    </row>
    <row r="6" spans="1:7" ht="19.5" thickBot="1" x14ac:dyDescent="0.3">
      <c r="A6" s="25">
        <v>2001</v>
      </c>
      <c r="B6" s="26">
        <v>-10.97</v>
      </c>
      <c r="C6" s="26">
        <v>3.83</v>
      </c>
      <c r="D6" s="26">
        <f t="shared" si="0"/>
        <v>-14.8</v>
      </c>
      <c r="E6" s="26">
        <f t="shared" si="1"/>
        <v>-21.18</v>
      </c>
      <c r="F6" s="26">
        <f t="shared" si="2"/>
        <v>448.5924</v>
      </c>
    </row>
    <row r="7" spans="1:7" ht="19.5" thickBot="1" x14ac:dyDescent="0.35">
      <c r="C7" s="27" t="s">
        <v>280</v>
      </c>
      <c r="D7" s="29">
        <f>AVERAGE(D2:D6)</f>
        <v>6.3800000000000008</v>
      </c>
      <c r="E7" s="26"/>
      <c r="F7" s="23">
        <f>SUM(F2:F6)/(COUNT(A2:A6)-1)</f>
        <v>418.98665000000005</v>
      </c>
    </row>
    <row r="8" spans="1:7" x14ac:dyDescent="0.3">
      <c r="F8" s="28">
        <f>F7^0.5</f>
        <v>20.469163392772067</v>
      </c>
      <c r="G8">
        <f>_xlfn.STDEV.S(D2:D6)</f>
        <v>20.469163392772067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0"/>
  <sheetViews>
    <sheetView zoomScale="190" zoomScaleNormal="190" workbookViewId="0">
      <selection activeCell="B260" sqref="B260"/>
    </sheetView>
  </sheetViews>
  <sheetFormatPr defaultColWidth="9.140625" defaultRowHeight="12.75" x14ac:dyDescent="0.2"/>
  <cols>
    <col min="1" max="1" width="24.7109375" style="1" customWidth="1"/>
    <col min="2" max="2" width="8.85546875" style="1" customWidth="1"/>
    <col min="3" max="3" width="11.28515625" style="1" customWidth="1"/>
    <col min="4" max="4" width="7.5703125" style="1" customWidth="1"/>
    <col min="5" max="5" width="10.5703125" style="1" customWidth="1"/>
    <col min="6" max="6" width="11.5703125" style="1" customWidth="1"/>
    <col min="7" max="7" width="6.42578125" style="1" customWidth="1"/>
    <col min="8" max="8" width="7.5703125" style="1" customWidth="1"/>
    <col min="9" max="9" width="11.42578125" style="1" customWidth="1"/>
    <col min="10" max="10" width="5.140625" style="1" customWidth="1"/>
    <col min="11" max="11" width="13.85546875" style="1" customWidth="1"/>
    <col min="12" max="12" width="11.5703125" style="1" customWidth="1"/>
    <col min="13" max="13" width="9.140625" style="1" customWidth="1"/>
    <col min="14" max="16384" width="9.140625" style="1"/>
  </cols>
  <sheetData>
    <row r="1" spans="1:6" x14ac:dyDescent="0.2">
      <c r="A1" s="2" t="s">
        <v>0</v>
      </c>
    </row>
    <row r="2" spans="1: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">
      <c r="A3" s="4">
        <v>45318</v>
      </c>
      <c r="B3" s="5">
        <v>5.4090601757943403E-3</v>
      </c>
      <c r="C3" s="6">
        <v>0</v>
      </c>
      <c r="D3" s="5">
        <v>1.0149708195889401E-2</v>
      </c>
      <c r="E3" s="6">
        <v>3.0610292710924001E-2</v>
      </c>
      <c r="F3" s="5">
        <v>3.9880692604065899E-3</v>
      </c>
    </row>
    <row r="4" spans="1:6" x14ac:dyDescent="0.2">
      <c r="A4" s="4">
        <v>45317</v>
      </c>
      <c r="B4" s="5">
        <v>1.49253731343284E-2</v>
      </c>
      <c r="C4" s="6">
        <v>1.0777998017839401E-2</v>
      </c>
      <c r="D4" s="5">
        <v>3.80613723166075E-2</v>
      </c>
      <c r="E4" s="6">
        <v>2.6109148017275399E-2</v>
      </c>
      <c r="F4" s="5">
        <v>1.3337927628990699E-2</v>
      </c>
    </row>
    <row r="5" spans="1:6" x14ac:dyDescent="0.2">
      <c r="A5" s="4">
        <v>45316</v>
      </c>
      <c r="B5" s="5">
        <v>1.1276891047883399E-2</v>
      </c>
      <c r="C5" s="6">
        <v>-1.2386968908696799E-4</v>
      </c>
      <c r="D5" s="5">
        <v>4.2708047239769197E-2</v>
      </c>
      <c r="E5" s="6">
        <v>3.5050289545870202E-2</v>
      </c>
      <c r="F5" s="5">
        <v>1.01834277765978E-2</v>
      </c>
    </row>
    <row r="6" spans="1:6" x14ac:dyDescent="0.2">
      <c r="A6" s="4">
        <v>45315</v>
      </c>
      <c r="B6" s="5">
        <v>-1.9047619047619401E-3</v>
      </c>
      <c r="C6" s="6">
        <v>-1.97911607576494E-2</v>
      </c>
      <c r="D6" s="5">
        <v>-4.7482014388489098E-2</v>
      </c>
      <c r="E6" s="6">
        <v>-2.6216857934309501E-2</v>
      </c>
      <c r="F6" s="5">
        <v>-2.62845720583978E-2</v>
      </c>
    </row>
    <row r="7" spans="1:6" x14ac:dyDescent="0.2">
      <c r="A7" s="4">
        <v>45312</v>
      </c>
      <c r="B7" s="5">
        <v>5.0469892098850997E-3</v>
      </c>
      <c r="C7" s="6">
        <v>6.4768422338996297E-3</v>
      </c>
      <c r="D7" s="5">
        <v>-1.7730952075035299E-2</v>
      </c>
      <c r="E7" s="6">
        <v>-9.6021947873800393E-3</v>
      </c>
      <c r="F7" s="5">
        <v>-1.1981526721784199E-2</v>
      </c>
    </row>
    <row r="8" spans="1:6" x14ac:dyDescent="0.2">
      <c r="A8" s="4">
        <v>45311</v>
      </c>
      <c r="B8" s="5">
        <v>-1.91071738752827E-3</v>
      </c>
      <c r="C8" s="6">
        <v>-1.7882861257801402E-2</v>
      </c>
      <c r="D8" s="5">
        <v>-1.2560263892413199E-2</v>
      </c>
      <c r="E8" s="6">
        <v>-4.2926829268292504E-3</v>
      </c>
      <c r="F8" s="5">
        <v>-6.1267566663060502E-4</v>
      </c>
    </row>
    <row r="9" spans="1:6" x14ac:dyDescent="0.2">
      <c r="A9" s="4">
        <v>45310</v>
      </c>
      <c r="B9" s="5">
        <v>-5.8711794163356498E-3</v>
      </c>
      <c r="C9" s="6">
        <v>-2.04561486009875E-2</v>
      </c>
      <c r="D9" s="5">
        <v>-4.1692987997472598E-3</v>
      </c>
      <c r="E9" s="6">
        <v>-6.7829457364341102E-3</v>
      </c>
      <c r="F9" s="5">
        <v>3.4520826860402398E-3</v>
      </c>
    </row>
    <row r="10" spans="1:6" x14ac:dyDescent="0.2">
      <c r="A10" s="4">
        <v>45309</v>
      </c>
      <c r="B10" s="5">
        <v>3.4548281223016999E-4</v>
      </c>
      <c r="C10" s="6">
        <v>-3.8646211500175101E-3</v>
      </c>
      <c r="D10" s="5">
        <v>5.0793650793650802E-3</v>
      </c>
      <c r="E10" s="6">
        <v>-5.78034682080925E-3</v>
      </c>
      <c r="F10" s="5">
        <v>-6.2644276943410399E-3</v>
      </c>
    </row>
    <row r="11" spans="1:6" x14ac:dyDescent="0.2">
      <c r="A11" s="4">
        <v>45308</v>
      </c>
      <c r="B11" s="5">
        <v>1.5614035087719301E-2</v>
      </c>
      <c r="C11" s="6">
        <v>4.0706886045094398E-2</v>
      </c>
      <c r="D11" s="5">
        <v>1.2992024697710301E-2</v>
      </c>
      <c r="E11" s="6">
        <v>4.6457607433216704E-3</v>
      </c>
      <c r="F11" s="5">
        <v>9.0521612896810599E-3</v>
      </c>
    </row>
    <row r="12" spans="1:6" x14ac:dyDescent="0.2">
      <c r="A12" s="4">
        <v>45305</v>
      </c>
      <c r="B12" s="5">
        <v>-1.62236796686227E-2</v>
      </c>
      <c r="C12" s="6">
        <v>6.0078469838155697E-3</v>
      </c>
      <c r="D12" s="5">
        <v>1.25032560562647E-2</v>
      </c>
      <c r="E12" s="6">
        <v>7.0175438596491698E-3</v>
      </c>
      <c r="F12" s="5">
        <v>-2.7631431083377598E-3</v>
      </c>
    </row>
    <row r="13" spans="1:6" x14ac:dyDescent="0.2">
      <c r="A13" s="4">
        <v>45304</v>
      </c>
      <c r="B13" s="5">
        <v>-8.7254063301967898E-3</v>
      </c>
      <c r="C13" s="6">
        <v>-2.9339853300733199E-3</v>
      </c>
      <c r="D13" s="5">
        <v>6.4228601389434798E-3</v>
      </c>
      <c r="E13" s="6">
        <v>2.35434956105347E-2</v>
      </c>
      <c r="F13" s="5">
        <v>1.6062565879031701E-3</v>
      </c>
    </row>
    <row r="14" spans="1:6" x14ac:dyDescent="0.2">
      <c r="A14" s="4">
        <v>45303</v>
      </c>
      <c r="B14" s="5">
        <v>-1.7105713308248799E-4</v>
      </c>
      <c r="C14" s="6">
        <v>2.6967393969110601E-3</v>
      </c>
      <c r="D14" s="5">
        <v>3.2061688311688201E-2</v>
      </c>
      <c r="E14" s="6">
        <v>1.25252525252525E-2</v>
      </c>
      <c r="F14" s="5">
        <v>8.0559363641096796E-3</v>
      </c>
    </row>
    <row r="15" spans="1:6" x14ac:dyDescent="0.2">
      <c r="A15" s="4">
        <v>45302</v>
      </c>
      <c r="B15" s="5">
        <v>-5.1290818943401401E-4</v>
      </c>
      <c r="C15" s="6">
        <v>1.25356832567952E-2</v>
      </c>
      <c r="D15" s="5">
        <v>1.8041592067208401E-2</v>
      </c>
      <c r="E15" s="6">
        <v>6.0975609756097598E-3</v>
      </c>
      <c r="F15" s="5">
        <v>6.1945535744266297E-3</v>
      </c>
    </row>
    <row r="16" spans="1:6" x14ac:dyDescent="0.2">
      <c r="A16" s="4">
        <v>45301</v>
      </c>
      <c r="B16" s="5">
        <v>1.17626708181975E-2</v>
      </c>
      <c r="C16" s="6">
        <v>8.1331331331331302E-3</v>
      </c>
      <c r="D16" s="5">
        <v>1.3791201213625699E-3</v>
      </c>
      <c r="E16" s="6">
        <v>2.01119635081899E-2</v>
      </c>
      <c r="F16" s="5">
        <v>-5.3478293397173802E-3</v>
      </c>
    </row>
    <row r="17" spans="1:6" x14ac:dyDescent="0.2">
      <c r="A17" s="4">
        <v>45298</v>
      </c>
      <c r="B17" s="5">
        <v>-1.1118713650359199E-2</v>
      </c>
      <c r="C17" s="6">
        <v>6.0422960725076396E-3</v>
      </c>
      <c r="D17" s="5">
        <v>2.0836266366324199E-2</v>
      </c>
      <c r="E17" s="6">
        <v>8.4683742812336898E-3</v>
      </c>
      <c r="F17" s="5">
        <v>4.6856733289755903E-3</v>
      </c>
    </row>
    <row r="18" spans="1:6" x14ac:dyDescent="0.2">
      <c r="A18" s="4">
        <v>45297</v>
      </c>
      <c r="B18" s="5">
        <v>-1.4829794405122901E-2</v>
      </c>
      <c r="C18" s="6">
        <v>-1.0093457943925299E-2</v>
      </c>
      <c r="D18" s="5">
        <v>9.8647125140914897E-4</v>
      </c>
      <c r="E18" s="6">
        <v>2.1247063847960702E-2</v>
      </c>
      <c r="F18" s="5">
        <v>-8.8467673380010596E-3</v>
      </c>
    </row>
    <row r="19" spans="1:6" x14ac:dyDescent="0.2">
      <c r="A19" s="4">
        <v>45296</v>
      </c>
      <c r="B19" s="5">
        <v>9.3553325395475395E-3</v>
      </c>
      <c r="C19" s="6">
        <v>4.7577313133841904E-3</v>
      </c>
      <c r="D19" s="5">
        <v>1.0826210826210899E-2</v>
      </c>
      <c r="E19" s="6">
        <v>-6.7868504772004004E-3</v>
      </c>
      <c r="F19" s="5">
        <v>1.56159437186469E-3</v>
      </c>
    </row>
    <row r="20" spans="1:6" x14ac:dyDescent="0.2">
      <c r="A20" s="4">
        <v>45295</v>
      </c>
      <c r="B20" s="5">
        <v>1.3970334598137299E-2</v>
      </c>
      <c r="C20" s="6">
        <v>-5.7263786879122496E-3</v>
      </c>
      <c r="D20" s="5">
        <v>6.20272314674735E-2</v>
      </c>
      <c r="E20" s="6">
        <v>5.0930569486236497E-2</v>
      </c>
      <c r="F20" s="5">
        <v>1.6332770897036199E-2</v>
      </c>
    </row>
    <row r="21" spans="1:6" x14ac:dyDescent="0.2">
      <c r="A21" s="4">
        <v>45291</v>
      </c>
      <c r="B21" s="5">
        <v>-4.6351931330472903E-3</v>
      </c>
      <c r="C21" s="6">
        <v>-7.04573547589622E-3</v>
      </c>
      <c r="D21" s="5">
        <v>-7.50750750750751E-3</v>
      </c>
      <c r="E21" s="6">
        <v>1.11457868925445E-4</v>
      </c>
      <c r="F21" s="5">
        <v>-2.49493111585696E-3</v>
      </c>
    </row>
    <row r="22" spans="1:6" x14ac:dyDescent="0.2">
      <c r="A22" s="4">
        <v>45290</v>
      </c>
      <c r="B22" s="5">
        <v>6.8716715341002798E-4</v>
      </c>
      <c r="C22" s="6">
        <v>3.7096574749592498E-4</v>
      </c>
      <c r="D22" s="5">
        <v>-8.9285714285714298E-3</v>
      </c>
      <c r="E22" s="6">
        <v>-1.78015131286149E-3</v>
      </c>
      <c r="F22" s="5">
        <v>-2.3825277703285498E-3</v>
      </c>
    </row>
    <row r="23" spans="1:6" x14ac:dyDescent="0.2">
      <c r="A23" s="4">
        <v>45289</v>
      </c>
      <c r="B23" s="5">
        <v>1.09412990621745E-2</v>
      </c>
      <c r="C23" s="6">
        <v>2.1065675340768801E-3</v>
      </c>
      <c r="D23" s="5">
        <v>-5.4758028710967096E-3</v>
      </c>
      <c r="E23" s="6">
        <v>3.79718561536741E-3</v>
      </c>
      <c r="F23" s="5">
        <v>6.5910663176027501E-3</v>
      </c>
    </row>
    <row r="24" spans="1:6" x14ac:dyDescent="0.2">
      <c r="A24" s="4">
        <v>45284</v>
      </c>
      <c r="B24" s="5">
        <v>-1.5606034333277099E-3</v>
      </c>
      <c r="C24" s="6">
        <v>-1.2390038409121901E-4</v>
      </c>
      <c r="D24" s="5">
        <v>-2.9590176061537499E-4</v>
      </c>
      <c r="E24" s="6">
        <v>-4.4652824291133901E-4</v>
      </c>
      <c r="F24" s="5">
        <v>-1.6817344649775799E-4</v>
      </c>
    </row>
    <row r="25" spans="1:6" x14ac:dyDescent="0.2">
      <c r="A25" s="4">
        <v>45283</v>
      </c>
      <c r="B25" s="5">
        <v>2.7821248478525902E-3</v>
      </c>
      <c r="C25" s="6">
        <v>-2.4773937817407601E-4</v>
      </c>
      <c r="D25" s="5">
        <v>9.7101882282641192E-3</v>
      </c>
      <c r="E25" s="6">
        <v>7.4224021592441602E-3</v>
      </c>
      <c r="F25" s="5">
        <v>4.3151003996371798E-3</v>
      </c>
    </row>
    <row r="26" spans="1:6" x14ac:dyDescent="0.2">
      <c r="A26" s="4">
        <v>45282</v>
      </c>
      <c r="B26" s="5">
        <v>-3.2928942807625302E-3</v>
      </c>
      <c r="C26" s="6">
        <v>4.2293817639009502E-3</v>
      </c>
      <c r="D26" s="5">
        <v>8.8922381311228003E-3</v>
      </c>
      <c r="E26" s="6">
        <v>-1.3477088948786299E-3</v>
      </c>
      <c r="F26" s="5">
        <v>6.0637952369402299E-3</v>
      </c>
    </row>
    <row r="27" spans="1:6" x14ac:dyDescent="0.2">
      <c r="A27" s="4">
        <v>45281</v>
      </c>
      <c r="B27" s="5">
        <v>3.1293463143253698E-3</v>
      </c>
      <c r="C27" s="6">
        <v>1.0051514009297701E-2</v>
      </c>
      <c r="D27" s="5">
        <v>2.6136715125270601E-2</v>
      </c>
      <c r="E27" s="6">
        <v>7.6957899502036603E-3</v>
      </c>
      <c r="F27" s="5">
        <v>1.3806555404742699E-2</v>
      </c>
    </row>
    <row r="28" spans="1:6" x14ac:dyDescent="0.2">
      <c r="A28" s="4">
        <v>45280</v>
      </c>
      <c r="B28" s="5">
        <v>1.1251758087201301E-2</v>
      </c>
      <c r="C28" s="6">
        <v>-1.33878765340276E-2</v>
      </c>
      <c r="D28" s="5">
        <v>-3.1310861423220898E-2</v>
      </c>
      <c r="E28" s="6">
        <v>-8.1939611628689592E-3</v>
      </c>
      <c r="F28" s="5">
        <v>-9.8886920351255996E-3</v>
      </c>
    </row>
    <row r="29" spans="1:6" x14ac:dyDescent="0.2">
      <c r="A29" s="4">
        <v>45277</v>
      </c>
      <c r="B29" s="5">
        <v>7.0821529745042503E-3</v>
      </c>
      <c r="C29" s="6">
        <v>-3.2126529099220399E-3</v>
      </c>
      <c r="D29" s="5">
        <v>-1.5341495795840101E-2</v>
      </c>
      <c r="E29" s="6">
        <v>-6.2465142219743702E-3</v>
      </c>
      <c r="F29" s="5">
        <v>1.28226140778811E-3</v>
      </c>
    </row>
    <row r="30" spans="1:6" x14ac:dyDescent="0.2">
      <c r="A30" s="4">
        <v>45276</v>
      </c>
      <c r="B30" s="5">
        <v>7.0871722182845002E-4</v>
      </c>
      <c r="C30" s="6">
        <v>6.2165858510506E-3</v>
      </c>
      <c r="D30" s="5">
        <v>2.4327591417346701E-2</v>
      </c>
      <c r="E30" s="6">
        <v>3.6895674300254401E-2</v>
      </c>
      <c r="F30" s="5">
        <v>1.2531464630617399E-2</v>
      </c>
    </row>
    <row r="31" spans="1:6" x14ac:dyDescent="0.2">
      <c r="A31" s="4">
        <v>45275</v>
      </c>
      <c r="B31" s="5">
        <v>-8.9552238805970606E-3</v>
      </c>
      <c r="C31" s="6">
        <v>6.6332916145180904E-3</v>
      </c>
      <c r="D31" s="5">
        <v>-1.9991115059973301E-2</v>
      </c>
      <c r="E31" s="6">
        <v>-5.5210489993098204E-3</v>
      </c>
      <c r="F31" s="5">
        <v>-6.63421364689198E-3</v>
      </c>
    </row>
    <row r="32" spans="1:6" x14ac:dyDescent="0.2">
      <c r="A32" s="4">
        <v>45274</v>
      </c>
      <c r="B32" s="5">
        <v>-2.1026809181707499E-3</v>
      </c>
      <c r="C32" s="6">
        <v>-5.3529192082658501E-3</v>
      </c>
      <c r="D32" s="5">
        <v>7.9104477611939596E-3</v>
      </c>
      <c r="E32" s="6">
        <v>7.8831439833062303E-3</v>
      </c>
      <c r="F32" s="5">
        <v>-1.7700485657074199E-3</v>
      </c>
    </row>
    <row r="33" spans="1:6" x14ac:dyDescent="0.2">
      <c r="A33" s="4">
        <v>45273</v>
      </c>
      <c r="B33" s="5">
        <v>3.3403656821379898E-3</v>
      </c>
      <c r="C33" s="6">
        <v>-3.3498759305211501E-3</v>
      </c>
      <c r="D33" s="5">
        <v>-2.21833041447753E-2</v>
      </c>
      <c r="E33" s="6">
        <v>-1.67559557733956E-2</v>
      </c>
      <c r="F33" s="5">
        <v>-8.2750713817476892E-3</v>
      </c>
    </row>
    <row r="34" spans="1:6" x14ac:dyDescent="0.2">
      <c r="A34" s="4">
        <v>45270</v>
      </c>
      <c r="B34" s="5">
        <v>4.9469964664310096E-3</v>
      </c>
      <c r="C34" s="6">
        <v>9.2662158777861003E-3</v>
      </c>
      <c r="D34" s="5">
        <v>-2.76524523359042E-3</v>
      </c>
      <c r="E34" s="6">
        <v>-4.0867294812124196E-3</v>
      </c>
      <c r="F34" s="5">
        <v>-4.0266292960502003E-3</v>
      </c>
    </row>
    <row r="35" spans="1:6" x14ac:dyDescent="0.2">
      <c r="A35" s="4">
        <v>45269</v>
      </c>
      <c r="B35" s="5">
        <v>8.8417329796640104E-4</v>
      </c>
      <c r="C35" s="6">
        <v>3.3923859781380102E-3</v>
      </c>
      <c r="D35" s="5">
        <v>-1.47691425293948E-2</v>
      </c>
      <c r="E35" s="6">
        <v>3.40676811264995E-4</v>
      </c>
      <c r="F35" s="5">
        <v>-2.1520910992837701E-3</v>
      </c>
    </row>
    <row r="36" spans="1:6" x14ac:dyDescent="0.2">
      <c r="A36" s="4">
        <v>45268</v>
      </c>
      <c r="B36" s="5">
        <v>-5.4519873373197704E-3</v>
      </c>
      <c r="C36" s="6">
        <v>1.01535727884249E-2</v>
      </c>
      <c r="D36" s="5">
        <v>-6.2695924764890002E-3</v>
      </c>
      <c r="E36" s="6">
        <v>-7.2153325817361598E-3</v>
      </c>
      <c r="F36" s="5">
        <v>-3.8828866878287899E-4</v>
      </c>
    </row>
    <row r="37" spans="1:6" x14ac:dyDescent="0.2">
      <c r="A37" s="4">
        <v>45267</v>
      </c>
      <c r="B37" s="5">
        <v>1.30055228932836E-2</v>
      </c>
      <c r="C37" s="6">
        <v>1.3506560329302799E-2</v>
      </c>
      <c r="D37" s="5">
        <v>1.26984126984126E-2</v>
      </c>
      <c r="E37" s="6">
        <v>1.4177909901669301E-2</v>
      </c>
      <c r="F37" s="5">
        <v>1.48805079449357E-2</v>
      </c>
    </row>
    <row r="38" spans="1:6" x14ac:dyDescent="0.2">
      <c r="A38" s="4">
        <v>45266</v>
      </c>
      <c r="B38" s="5">
        <v>1.9635844341305102E-3</v>
      </c>
      <c r="C38" s="6">
        <v>1.3163039228463499E-2</v>
      </c>
      <c r="D38" s="5">
        <v>1.65762065424673E-2</v>
      </c>
      <c r="E38" s="6">
        <v>1.7686758203397799E-2</v>
      </c>
      <c r="F38" s="5">
        <v>1.54387896078806E-2</v>
      </c>
    </row>
    <row r="39" spans="1:6" x14ac:dyDescent="0.2">
      <c r="A39" s="4">
        <v>45263</v>
      </c>
      <c r="B39" s="5">
        <v>8.0978945474176698E-3</v>
      </c>
      <c r="C39" s="6">
        <v>3.9113428943931498E-4</v>
      </c>
      <c r="D39" s="5">
        <v>1.26262626262626E-2</v>
      </c>
      <c r="E39" s="6">
        <v>-4.4022242817424303E-3</v>
      </c>
      <c r="F39" s="5">
        <v>-9.6644649266893899E-4</v>
      </c>
    </row>
    <row r="40" spans="1:6" x14ac:dyDescent="0.2">
      <c r="A40" s="4">
        <v>45262</v>
      </c>
      <c r="B40" s="5">
        <v>-1.07855473665272E-3</v>
      </c>
      <c r="C40" s="6">
        <v>-4.6716844017648902E-3</v>
      </c>
      <c r="D40" s="5">
        <v>1.11144487834186E-2</v>
      </c>
      <c r="E40" s="6">
        <v>5.5917986952470503E-3</v>
      </c>
      <c r="F40" s="5">
        <v>-5.5058950880776201E-3</v>
      </c>
    </row>
    <row r="41" spans="1:6" x14ac:dyDescent="0.2">
      <c r="A41" s="4">
        <v>45261</v>
      </c>
      <c r="B41" s="5">
        <v>5.0587172538391198E-3</v>
      </c>
      <c r="C41" s="6">
        <v>1.0622950819672201E-2</v>
      </c>
      <c r="D41" s="5">
        <v>2.28913811645414E-2</v>
      </c>
      <c r="E41" s="6">
        <v>2.3488732562298699E-2</v>
      </c>
      <c r="F41" s="5">
        <v>1.5472876782185599E-2</v>
      </c>
    </row>
    <row r="42" spans="1:6" x14ac:dyDescent="0.2">
      <c r="A42" s="4">
        <v>45260</v>
      </c>
      <c r="B42" s="5">
        <v>-8.0645161290322596E-3</v>
      </c>
      <c r="C42" s="6">
        <v>0</v>
      </c>
      <c r="D42" s="5">
        <v>-6.8660360085444003E-3</v>
      </c>
      <c r="E42" s="6">
        <v>6.9636210829632202E-3</v>
      </c>
      <c r="F42" s="5">
        <v>-7.1027222413659703E-3</v>
      </c>
    </row>
    <row r="43" spans="1:6" x14ac:dyDescent="0.2">
      <c r="A43" s="4">
        <v>45259</v>
      </c>
      <c r="B43" s="5">
        <v>-5.3734551316488401E-4</v>
      </c>
      <c r="C43" s="6">
        <v>9.3989939105110203E-3</v>
      </c>
      <c r="D43" s="5">
        <v>3.1638595938926498E-2</v>
      </c>
      <c r="E43" s="6">
        <v>5.79640140079695E-3</v>
      </c>
      <c r="F43" s="5">
        <v>9.35827928046872E-3</v>
      </c>
    </row>
    <row r="44" spans="1:6" x14ac:dyDescent="0.2">
      <c r="A44" s="4">
        <v>45256</v>
      </c>
      <c r="B44" s="5">
        <v>-4.2803638309257897E-3</v>
      </c>
      <c r="C44" s="6">
        <v>-1.8961038961039001E-2</v>
      </c>
      <c r="D44" s="5">
        <v>-7.8607686729514195E-2</v>
      </c>
      <c r="E44" s="6">
        <v>-6.7034700315457399E-2</v>
      </c>
      <c r="F44" s="5">
        <v>-3.6433176432930203E-2</v>
      </c>
    </row>
    <row r="45" spans="1:6" x14ac:dyDescent="0.2">
      <c r="A45" s="4">
        <v>45255</v>
      </c>
      <c r="B45" s="5">
        <v>-5.3475935828868897E-4</v>
      </c>
      <c r="C45" s="6">
        <v>2.59807742270779E-4</v>
      </c>
      <c r="D45" s="5">
        <v>7.2568940493468795E-4</v>
      </c>
      <c r="E45" s="6">
        <v>1.0149994361114E-3</v>
      </c>
      <c r="F45" s="5">
        <v>3.3007059805224299E-3</v>
      </c>
    </row>
    <row r="46" spans="1:6" x14ac:dyDescent="0.2">
      <c r="A46" s="4">
        <v>45254</v>
      </c>
      <c r="B46" s="5">
        <v>2.5017869907076099E-3</v>
      </c>
      <c r="C46" s="6">
        <v>4.0433024651100897E-3</v>
      </c>
      <c r="D46" s="5">
        <v>1.5026517383618199E-2</v>
      </c>
      <c r="E46" s="6">
        <v>9.0303646009715305E-4</v>
      </c>
      <c r="F46" s="5">
        <v>2.70136747267327E-3</v>
      </c>
    </row>
    <row r="47" spans="1:6" x14ac:dyDescent="0.2">
      <c r="A47" s="4">
        <v>45253</v>
      </c>
      <c r="B47" s="5">
        <v>-3.9159843360625302E-3</v>
      </c>
      <c r="C47" s="6">
        <v>4.7175992661512602E-3</v>
      </c>
      <c r="D47" s="5">
        <v>1.49521531100478E-2</v>
      </c>
      <c r="E47" s="6">
        <v>1.37315482320632E-2</v>
      </c>
      <c r="F47" s="5">
        <v>1.5477998638266299E-3</v>
      </c>
    </row>
    <row r="48" spans="1:6" x14ac:dyDescent="0.2">
      <c r="A48" s="4">
        <v>45252</v>
      </c>
      <c r="B48" s="5">
        <v>7.3516227362379599E-3</v>
      </c>
      <c r="C48" s="6">
        <v>3.0231335436383699E-3</v>
      </c>
      <c r="D48" s="5">
        <v>2.40391976726381E-2</v>
      </c>
      <c r="E48" s="6">
        <v>1.21612230715775E-2</v>
      </c>
      <c r="F48" s="5">
        <v>4.41471460787399E-3</v>
      </c>
    </row>
    <row r="49" spans="1:6" x14ac:dyDescent="0.2">
      <c r="A49" s="4">
        <v>45249</v>
      </c>
      <c r="B49" s="5">
        <v>-1.78986933953821E-3</v>
      </c>
      <c r="C49" s="6">
        <v>6.3492063492062902E-3</v>
      </c>
      <c r="D49" s="5">
        <v>-2.9424877396344098E-2</v>
      </c>
      <c r="E49" s="6">
        <v>-1.6628701594533099E-2</v>
      </c>
      <c r="F49" s="5">
        <v>-4.46391655962827E-3</v>
      </c>
    </row>
    <row r="50" spans="1:6" x14ac:dyDescent="0.2">
      <c r="A50" s="4">
        <v>45248</v>
      </c>
      <c r="B50" s="5">
        <v>5.39859636494511E-3</v>
      </c>
      <c r="C50" s="6">
        <v>-3.01475304682489E-2</v>
      </c>
      <c r="D50" s="5">
        <v>-1.6228070175438598E-2</v>
      </c>
      <c r="E50" s="6">
        <v>-1.36487716105556E-3</v>
      </c>
      <c r="F50" s="5">
        <v>-4.8332236120254297E-3</v>
      </c>
    </row>
    <row r="51" spans="1:6" x14ac:dyDescent="0.2">
      <c r="A51" s="4">
        <v>45247</v>
      </c>
      <c r="B51" s="5">
        <v>-9.9768394797789192E-3</v>
      </c>
      <c r="C51" s="6">
        <v>6.4184852374839501E-4</v>
      </c>
      <c r="D51" s="5">
        <v>-7.4009577710056904E-3</v>
      </c>
      <c r="E51" s="6">
        <v>-9.0909090909085705E-4</v>
      </c>
      <c r="F51" s="5">
        <v>-4.8819634855882402E-3</v>
      </c>
    </row>
    <row r="52" spans="1:6" x14ac:dyDescent="0.2">
      <c r="A52" s="4">
        <v>45246</v>
      </c>
      <c r="B52" s="5">
        <v>-1.8363064008394499E-2</v>
      </c>
      <c r="C52" s="6">
        <v>-1.85208517071942E-2</v>
      </c>
      <c r="D52" s="5">
        <v>8.7834870443566099E-3</v>
      </c>
      <c r="E52" s="6">
        <v>7.5566750629723197E-3</v>
      </c>
      <c r="F52" s="5">
        <v>-3.3855378094794302E-3</v>
      </c>
    </row>
    <row r="53" spans="1:6" x14ac:dyDescent="0.2">
      <c r="A53" s="4">
        <v>45245</v>
      </c>
      <c r="B53" s="5">
        <v>3.1578947368420302E-3</v>
      </c>
      <c r="C53" s="6">
        <v>-3.7655328228944399E-3</v>
      </c>
      <c r="D53" s="5">
        <v>1.9067175124671001E-3</v>
      </c>
      <c r="E53" s="6">
        <v>5.75771533855366E-3</v>
      </c>
      <c r="F53" s="5">
        <v>5.3756782540883305E-4</v>
      </c>
    </row>
    <row r="54" spans="1:6" x14ac:dyDescent="0.2">
      <c r="A54" s="4">
        <v>45242</v>
      </c>
      <c r="B54" s="5">
        <v>4.58230525202683E-3</v>
      </c>
      <c r="C54" s="6">
        <v>2.26443577808538E-3</v>
      </c>
      <c r="D54" s="5">
        <v>-1.2313486889758101E-2</v>
      </c>
      <c r="E54" s="6">
        <v>1.4992503748125401E-3</v>
      </c>
      <c r="F54" s="5">
        <v>-4.9118520946131398E-3</v>
      </c>
    </row>
    <row r="55" spans="1:6" x14ac:dyDescent="0.2">
      <c r="A55" s="4">
        <v>45241</v>
      </c>
      <c r="B55" s="5">
        <v>-4.3867345148271598E-3</v>
      </c>
      <c r="C55" s="6">
        <v>-2.5154068670613197E-4</v>
      </c>
      <c r="D55" s="5">
        <v>-7.6193214491087798E-3</v>
      </c>
      <c r="E55" s="6">
        <v>5.2167864595409202E-3</v>
      </c>
      <c r="F55" s="5">
        <v>5.9985150167231804E-3</v>
      </c>
    </row>
    <row r="56" spans="1:6" x14ac:dyDescent="0.2">
      <c r="A56" s="4">
        <v>45240</v>
      </c>
      <c r="B56" s="5">
        <v>2.3159784560143601E-2</v>
      </c>
      <c r="C56" s="6">
        <v>1.9489678163867201E-2</v>
      </c>
      <c r="D56" s="5">
        <v>9.7256495862970607E-3</v>
      </c>
      <c r="E56" s="6">
        <v>3.7235280428206301E-3</v>
      </c>
      <c r="F56" s="5">
        <v>9.0884845285425508E-3</v>
      </c>
    </row>
    <row r="57" spans="1:6" x14ac:dyDescent="0.2">
      <c r="A57" s="4">
        <v>45239</v>
      </c>
      <c r="B57" s="5">
        <v>1.32799708932144E-2</v>
      </c>
      <c r="C57" s="6">
        <v>1.0268258246694301E-3</v>
      </c>
      <c r="D57" s="5">
        <v>-2.3171614771904702E-3</v>
      </c>
      <c r="E57" s="6">
        <v>-1.02499136243234E-2</v>
      </c>
      <c r="F57" s="5">
        <v>-3.6107610541887699E-3</v>
      </c>
    </row>
    <row r="58" spans="1:6" x14ac:dyDescent="0.2">
      <c r="A58" s="4">
        <v>45238</v>
      </c>
      <c r="B58" s="5">
        <v>-1.8158707100054501E-3</v>
      </c>
      <c r="C58" s="6">
        <v>-1.1294416243654799E-2</v>
      </c>
      <c r="D58" s="5">
        <v>-4.34279096699413E-4</v>
      </c>
      <c r="E58" s="6">
        <v>-7.0897655803316703E-3</v>
      </c>
      <c r="F58" s="5">
        <v>-4.8740683136276798E-4</v>
      </c>
    </row>
    <row r="59" spans="1:6" x14ac:dyDescent="0.2">
      <c r="A59" s="4">
        <v>45235</v>
      </c>
      <c r="B59" s="5">
        <v>-9.0711175616835997E-4</v>
      </c>
      <c r="C59" s="6">
        <v>3.5659704533876099E-3</v>
      </c>
      <c r="D59" s="5">
        <v>1.7378497790868901E-2</v>
      </c>
      <c r="E59" s="6">
        <v>8.6505190311418692E-3</v>
      </c>
      <c r="F59" s="5">
        <v>3.3036122699319301E-3</v>
      </c>
    </row>
    <row r="60" spans="1:6" x14ac:dyDescent="0.2">
      <c r="A60" s="4">
        <v>45234</v>
      </c>
      <c r="B60" s="5">
        <v>7.4940595869128499E-3</v>
      </c>
      <c r="C60" s="6">
        <v>-1.2733987011321699E-4</v>
      </c>
      <c r="D60" s="5">
        <v>1.3886814991787301E-2</v>
      </c>
      <c r="E60" s="6">
        <v>-2.4746906636670399E-2</v>
      </c>
      <c r="F60" s="5">
        <v>4.2792758615456299E-3</v>
      </c>
    </row>
    <row r="61" spans="1:6" x14ac:dyDescent="0.2">
      <c r="A61" s="4">
        <v>45233</v>
      </c>
      <c r="B61" s="5">
        <v>5.6985294117647498E-3</v>
      </c>
      <c r="C61" s="6">
        <v>3.8348459670203201E-3</v>
      </c>
      <c r="D61" s="5">
        <v>-2.9279605739962199E-2</v>
      </c>
      <c r="E61" s="6">
        <v>-1.12473287594222E-4</v>
      </c>
      <c r="F61" s="5">
        <v>-3.5629796517022499E-3</v>
      </c>
    </row>
    <row r="62" spans="1:6" x14ac:dyDescent="0.2">
      <c r="A62" s="4">
        <v>45232</v>
      </c>
      <c r="B62" s="5">
        <v>1.8385732671451099E-4</v>
      </c>
      <c r="C62" s="6">
        <v>1.3079513079513E-2</v>
      </c>
      <c r="D62" s="5">
        <v>-3.3753501400560298E-2</v>
      </c>
      <c r="E62" s="6">
        <v>-4.3673012318028899E-3</v>
      </c>
      <c r="F62" s="5">
        <v>-1.8947345313652601E-3</v>
      </c>
    </row>
    <row r="63" spans="1:6" x14ac:dyDescent="0.2">
      <c r="A63" s="4">
        <v>45231</v>
      </c>
      <c r="B63" s="5">
        <v>7.5954057058170103E-3</v>
      </c>
      <c r="C63" s="6">
        <v>2.37306111626675E-2</v>
      </c>
      <c r="D63" s="5">
        <v>1.9417475728155401E-2</v>
      </c>
      <c r="E63" s="6">
        <v>1.13250283125708E-2</v>
      </c>
      <c r="F63" s="5">
        <v>7.05347236710666E-3</v>
      </c>
    </row>
    <row r="64" spans="1:6" x14ac:dyDescent="0.2">
      <c r="A64" s="4">
        <v>45228</v>
      </c>
      <c r="B64" s="5">
        <v>1.1127596439167501E-3</v>
      </c>
      <c r="C64" s="6">
        <v>6.4042695130086102E-3</v>
      </c>
      <c r="D64" s="5">
        <v>-5.2549353784974396E-3</v>
      </c>
      <c r="E64" s="6">
        <v>2.4977293369664502E-3</v>
      </c>
      <c r="F64" s="5">
        <v>-1.64149930960478E-3</v>
      </c>
    </row>
    <row r="65" spans="1:6" x14ac:dyDescent="0.2">
      <c r="A65" s="4">
        <v>45227</v>
      </c>
      <c r="B65" s="5">
        <v>-7.1809979745902702E-3</v>
      </c>
      <c r="C65" s="6">
        <v>3.9672631432931101E-2</v>
      </c>
      <c r="D65" s="5">
        <v>-1.5520134228187999E-2</v>
      </c>
      <c r="E65" s="6">
        <v>-9.6694400719586505E-3</v>
      </c>
      <c r="F65" s="5">
        <v>-5.23901633332301E-4</v>
      </c>
    </row>
    <row r="66" spans="1:6" x14ac:dyDescent="0.2">
      <c r="A66" s="4">
        <v>45226</v>
      </c>
      <c r="B66" s="5">
        <v>-8.5797736400144795E-3</v>
      </c>
      <c r="C66" s="6">
        <v>5.2991214614418599E-3</v>
      </c>
      <c r="D66" s="5">
        <v>-4.4543429844096996E-3</v>
      </c>
      <c r="E66" s="6">
        <v>-5.47914570054789E-3</v>
      </c>
      <c r="F66" s="5">
        <v>-3.3458740632238901E-3</v>
      </c>
    </row>
    <row r="67" spans="1:6" x14ac:dyDescent="0.2">
      <c r="A67" s="4">
        <v>45225</v>
      </c>
      <c r="B67" s="5">
        <v>7.3072707343802901E-4</v>
      </c>
      <c r="C67" s="6">
        <v>6.7387336796294701E-3</v>
      </c>
      <c r="D67" s="5">
        <v>-4.0205185082489601E-3</v>
      </c>
      <c r="E67" s="6">
        <v>9.2540345333483008E-3</v>
      </c>
      <c r="F67" s="5">
        <v>7.5870643322137601E-3</v>
      </c>
    </row>
    <row r="68" spans="1:6" x14ac:dyDescent="0.2">
      <c r="A68" s="4">
        <v>45224</v>
      </c>
      <c r="B68" s="5">
        <v>1.0895660203139401E-2</v>
      </c>
      <c r="C68" s="6">
        <v>2.6745495495495201E-3</v>
      </c>
      <c r="D68" s="5">
        <v>1.5915492957746399E-2</v>
      </c>
      <c r="E68" s="6">
        <v>1.8974241030358802E-2</v>
      </c>
      <c r="F68" s="5">
        <v>2.5358974536923901E-3</v>
      </c>
    </row>
    <row r="69" spans="1:6" x14ac:dyDescent="0.2">
      <c r="A69" s="4">
        <v>45221</v>
      </c>
      <c r="B69" s="5">
        <v>1.8470631695608199E-4</v>
      </c>
      <c r="C69" s="6">
        <v>7.0881769208959496E-3</v>
      </c>
      <c r="D69" s="5">
        <v>-3.3688938798427498E-3</v>
      </c>
      <c r="E69" s="6">
        <v>1.1500862564695E-4</v>
      </c>
      <c r="F69" s="5">
        <v>1.9818366410302799E-3</v>
      </c>
    </row>
    <row r="70" spans="1:6" x14ac:dyDescent="0.2">
      <c r="A70" s="4">
        <v>45220</v>
      </c>
      <c r="B70" s="5">
        <v>-5.3279441484475097E-3</v>
      </c>
      <c r="C70" s="6">
        <v>1.8463286464990101E-3</v>
      </c>
      <c r="D70" s="5">
        <v>-1.90030294684661E-2</v>
      </c>
      <c r="E70" s="6">
        <v>3.3464112624047699E-3</v>
      </c>
      <c r="F70" s="5">
        <v>-4.5409865570184803E-3</v>
      </c>
    </row>
    <row r="71" spans="1:6" x14ac:dyDescent="0.2">
      <c r="A71" s="4">
        <v>45219</v>
      </c>
      <c r="B71" s="5">
        <v>-7.6572470373747403E-3</v>
      </c>
      <c r="C71" s="6">
        <v>7.10631040363843E-4</v>
      </c>
      <c r="D71" s="5">
        <v>3.1772344246443801E-3</v>
      </c>
      <c r="E71" s="6">
        <v>2.77713492247162E-3</v>
      </c>
      <c r="F71" s="5">
        <v>7.7173215767729702E-4</v>
      </c>
    </row>
    <row r="72" spans="1:6" x14ac:dyDescent="0.2">
      <c r="A72" s="4">
        <v>45218</v>
      </c>
      <c r="B72" s="5">
        <v>1.7625231910946199E-2</v>
      </c>
      <c r="C72" s="6">
        <v>8.31183720263696E-3</v>
      </c>
      <c r="D72" s="5">
        <v>1.3833171946327301E-3</v>
      </c>
      <c r="E72" s="6">
        <v>-1.61737523105358E-3</v>
      </c>
      <c r="F72" s="5">
        <v>1.9017661438429001E-3</v>
      </c>
    </row>
    <row r="73" spans="1:6" x14ac:dyDescent="0.2">
      <c r="A73" s="4">
        <v>45217</v>
      </c>
      <c r="B73" s="5">
        <v>5.9723777528929598E-3</v>
      </c>
      <c r="C73" s="6">
        <v>-2.8579594169762801E-3</v>
      </c>
      <c r="D73" s="5">
        <v>-5.9130913091310104E-3</v>
      </c>
      <c r="E73" s="6">
        <v>-3.2243205895899998E-3</v>
      </c>
      <c r="F73" s="5">
        <v>-4.1747131267080503E-3</v>
      </c>
    </row>
    <row r="74" spans="1:6" x14ac:dyDescent="0.2">
      <c r="A74" s="4">
        <v>45214</v>
      </c>
      <c r="B74" s="5">
        <v>7.1428571428570602E-3</v>
      </c>
      <c r="C74" s="6">
        <v>-1.56941075759741E-3</v>
      </c>
      <c r="D74" s="5">
        <v>1.6494268940453E-2</v>
      </c>
      <c r="E74" s="6">
        <v>1.9248826291079799E-2</v>
      </c>
      <c r="F74" s="5">
        <v>3.6516452520980601E-3</v>
      </c>
    </row>
    <row r="75" spans="1:6" x14ac:dyDescent="0.2">
      <c r="A75" s="4">
        <v>45213</v>
      </c>
      <c r="B75" s="5">
        <v>-1.2437349173937301E-2</v>
      </c>
      <c r="C75" s="6">
        <v>5.7102069950032397E-4</v>
      </c>
      <c r="D75" s="5">
        <v>7.7475700802930002E-3</v>
      </c>
      <c r="E75" s="6">
        <v>3.41538099163818E-3</v>
      </c>
      <c r="F75" s="5">
        <v>9.2259396064308993E-3</v>
      </c>
    </row>
    <row r="76" spans="1:6" x14ac:dyDescent="0.2">
      <c r="A76" s="4">
        <v>45212</v>
      </c>
      <c r="B76" s="5">
        <v>-2.7767493520918199E-3</v>
      </c>
      <c r="C76" s="6">
        <v>-2.84697508896797E-3</v>
      </c>
      <c r="D76" s="5">
        <v>-9.0731434952540501E-3</v>
      </c>
      <c r="E76" s="6">
        <v>-1.03729603729603E-2</v>
      </c>
      <c r="F76" s="5">
        <v>1.6254735120746701E-3</v>
      </c>
    </row>
    <row r="77" spans="1:6" x14ac:dyDescent="0.2">
      <c r="A77" s="4">
        <v>45211</v>
      </c>
      <c r="B77" s="5">
        <v>-9.2472720547438498E-4</v>
      </c>
      <c r="C77" s="6">
        <v>8.7593337162550598E-3</v>
      </c>
      <c r="D77" s="5">
        <v>-5.8284762697752499E-3</v>
      </c>
      <c r="E77" s="6">
        <v>-4.1782729805014199E-3</v>
      </c>
      <c r="F77" s="5">
        <v>-2.3255000454746899E-3</v>
      </c>
    </row>
    <row r="78" spans="1:6" x14ac:dyDescent="0.2">
      <c r="A78" s="4">
        <v>45210</v>
      </c>
      <c r="B78" s="5">
        <v>-1.9049346879535599E-2</v>
      </c>
      <c r="C78" s="6">
        <v>-4.4317369549678699E-3</v>
      </c>
      <c r="D78" s="5">
        <v>1.9092066185829398E-2</v>
      </c>
      <c r="E78" s="6">
        <v>2.6814444047193398E-2</v>
      </c>
      <c r="F78" s="5">
        <v>7.2298835185433397E-3</v>
      </c>
    </row>
    <row r="79" spans="1:6" x14ac:dyDescent="0.2">
      <c r="A79" s="4">
        <v>45207</v>
      </c>
      <c r="B79" s="5">
        <v>8.9694307157241297E-3</v>
      </c>
      <c r="C79" s="6">
        <v>-1.2849800114220101E-3</v>
      </c>
      <c r="D79" s="5">
        <v>2.5377030162413002E-2</v>
      </c>
      <c r="E79" s="6">
        <v>8.4124504266314092E-3</v>
      </c>
      <c r="F79" s="5">
        <v>2.47384869257594E-3</v>
      </c>
    </row>
    <row r="80" spans="1:6" x14ac:dyDescent="0.2">
      <c r="A80" s="4">
        <v>45206</v>
      </c>
      <c r="B80" s="5">
        <v>1.9026301063234299E-2</v>
      </c>
      <c r="C80" s="6">
        <v>1.4778325123152599E-2</v>
      </c>
      <c r="D80" s="5">
        <v>9.5154442980529899E-3</v>
      </c>
      <c r="E80" s="6">
        <v>2.3997046517351701E-2</v>
      </c>
      <c r="F80" s="5">
        <v>1.17455012743233E-2</v>
      </c>
    </row>
    <row r="81" spans="1:6" x14ac:dyDescent="0.2">
      <c r="A81" s="4">
        <v>45205</v>
      </c>
      <c r="B81" s="5">
        <v>5.9486166007905197E-2</v>
      </c>
      <c r="C81" s="6">
        <v>-5.4755043227665097E-3</v>
      </c>
      <c r="D81" s="5">
        <v>-2.5951803792955801E-2</v>
      </c>
      <c r="E81" s="6">
        <v>3.3842239185750703E-2</v>
      </c>
      <c r="F81" s="5">
        <v>-1.14778652272824E-2</v>
      </c>
    </row>
    <row r="82" spans="1:6" x14ac:dyDescent="0.2">
      <c r="A82" s="4">
        <v>45204</v>
      </c>
      <c r="B82" s="5">
        <v>5.3645936817007496E-3</v>
      </c>
      <c r="C82" s="6">
        <v>2.3108030040439398E-3</v>
      </c>
      <c r="D82" s="5">
        <v>1.7999709682101898E-2</v>
      </c>
      <c r="E82" s="6">
        <v>2.29047371160854E-2</v>
      </c>
      <c r="F82" s="5">
        <v>9.4266018733392392E-3</v>
      </c>
    </row>
    <row r="83" spans="1:6" x14ac:dyDescent="0.2">
      <c r="A83" s="4">
        <v>45203</v>
      </c>
      <c r="B83" s="5">
        <v>1.4922363379713701E-2</v>
      </c>
      <c r="C83" s="6">
        <v>-5.7736720554269199E-4</v>
      </c>
      <c r="D83" s="5">
        <v>1.9233614440005899E-2</v>
      </c>
      <c r="E83" s="6">
        <v>-1.1449890647111801E-2</v>
      </c>
      <c r="F83" s="5">
        <v>-2.28544756207061E-3</v>
      </c>
    </row>
    <row r="84" spans="1:6" x14ac:dyDescent="0.2">
      <c r="A84" s="4">
        <v>45200</v>
      </c>
      <c r="B84" s="5">
        <v>-2.11212001579156E-2</v>
      </c>
      <c r="C84" s="6">
        <v>-1.2824166429182099E-2</v>
      </c>
      <c r="D84" s="5">
        <v>-6.9056714663532802E-3</v>
      </c>
      <c r="E84" s="6">
        <v>-3.5892834252019799E-3</v>
      </c>
      <c r="F84" s="5">
        <v>-8.3751739242100207E-3</v>
      </c>
    </row>
    <row r="85" spans="1:6" x14ac:dyDescent="0.2">
      <c r="A85" s="4">
        <v>45199</v>
      </c>
      <c r="B85" s="5">
        <v>-1.24756335282651E-2</v>
      </c>
      <c r="C85" s="6">
        <v>-9.9644128113885507E-4</v>
      </c>
      <c r="D85" s="5">
        <v>5.9119125036949504E-3</v>
      </c>
      <c r="E85" s="6">
        <v>-8.7674714104192808E-3</v>
      </c>
      <c r="F85" s="5">
        <v>-3.0584567595551798E-3</v>
      </c>
    </row>
    <row r="86" spans="1:6" x14ac:dyDescent="0.2">
      <c r="A86" s="4">
        <v>45198</v>
      </c>
      <c r="B86" s="5">
        <v>5.8513750731412995E-4</v>
      </c>
      <c r="C86" s="6">
        <v>1.5907447577729598E-2</v>
      </c>
      <c r="D86" s="5">
        <v>5.0505050505050197E-3</v>
      </c>
      <c r="E86" s="6">
        <v>2.1149604255871202E-2</v>
      </c>
      <c r="F86" s="5">
        <v>1.13914144647913E-2</v>
      </c>
    </row>
    <row r="87" spans="1:6" x14ac:dyDescent="0.2">
      <c r="A87" s="4">
        <v>45197</v>
      </c>
      <c r="B87" s="5">
        <v>-6.0100814269094796E-3</v>
      </c>
      <c r="C87" s="6">
        <v>-3.02768166089969E-3</v>
      </c>
      <c r="D87" s="5">
        <v>1.5997585270147899E-2</v>
      </c>
      <c r="E87" s="6">
        <v>-1.5546055188495E-3</v>
      </c>
      <c r="F87" s="5">
        <v>-4.9975932270576902E-3</v>
      </c>
    </row>
    <row r="88" spans="1:6" x14ac:dyDescent="0.2">
      <c r="A88" s="4">
        <v>45196</v>
      </c>
      <c r="B88" s="5">
        <v>1.5533980582523399E-3</v>
      </c>
      <c r="C88" s="6">
        <v>-5.7636887608065904E-4</v>
      </c>
      <c r="D88" s="5">
        <v>3.46658338538414E-2</v>
      </c>
      <c r="E88" s="6">
        <v>2.7966440271674001E-2</v>
      </c>
      <c r="F88" s="5">
        <v>1.69042527242509E-3</v>
      </c>
    </row>
    <row r="89" spans="1:6" x14ac:dyDescent="0.2">
      <c r="A89" s="4">
        <v>45193</v>
      </c>
      <c r="B89" s="5">
        <v>-7.8982854941244893E-3</v>
      </c>
      <c r="C89" s="6">
        <v>-1.8387553041018401E-2</v>
      </c>
      <c r="D89" s="5">
        <v>7.7104642014161704E-3</v>
      </c>
      <c r="E89" s="6">
        <v>-3.7150059705454001E-3</v>
      </c>
      <c r="F89" s="5">
        <v>-3.7960824203381901E-3</v>
      </c>
    </row>
    <row r="90" spans="1:6" x14ac:dyDescent="0.2">
      <c r="A90" s="4">
        <v>45192</v>
      </c>
      <c r="B90" s="5">
        <v>-8.0259889164913702E-3</v>
      </c>
      <c r="C90" s="6">
        <v>-1.04968509447166E-2</v>
      </c>
      <c r="D90" s="5">
        <v>3.1570639305445901E-3</v>
      </c>
      <c r="E90" s="6">
        <v>3.8625466169420501E-3</v>
      </c>
      <c r="F90" s="5">
        <v>-7.0870221377670897E-4</v>
      </c>
    </row>
    <row r="91" spans="1:6" x14ac:dyDescent="0.2">
      <c r="A91" s="4">
        <v>45191</v>
      </c>
      <c r="B91" s="5">
        <v>1.7301710730948602E-2</v>
      </c>
      <c r="C91" s="6">
        <v>7.0472163495419304E-3</v>
      </c>
      <c r="D91" s="5">
        <v>2.5744818652849701E-2</v>
      </c>
      <c r="E91" s="6">
        <v>4.3502432244614302E-2</v>
      </c>
      <c r="F91" s="5">
        <v>1.46669951783274E-2</v>
      </c>
    </row>
    <row r="92" spans="1:6" x14ac:dyDescent="0.2">
      <c r="A92" s="4">
        <v>45190</v>
      </c>
      <c r="B92" s="5">
        <v>1.0807624287679301E-2</v>
      </c>
      <c r="C92" s="6">
        <v>1.06837606837607E-2</v>
      </c>
      <c r="D92" s="5">
        <v>1.6792887718142999E-2</v>
      </c>
      <c r="E92" s="6">
        <v>-5.3912081835775201E-3</v>
      </c>
      <c r="F92" s="5">
        <v>1.11632393817416E-2</v>
      </c>
    </row>
    <row r="93" spans="1:6" x14ac:dyDescent="0.2">
      <c r="A93" s="4">
        <v>45189</v>
      </c>
      <c r="B93" s="5">
        <v>-5.8605196327407702E-3</v>
      </c>
      <c r="C93" s="6">
        <v>1.1381645296066801E-2</v>
      </c>
      <c r="D93" s="5">
        <v>-3.1183325127194799E-3</v>
      </c>
      <c r="E93" s="6">
        <v>-3.8159819172982397E-2</v>
      </c>
      <c r="F93" s="5">
        <v>-8.5774106645375801E-3</v>
      </c>
    </row>
    <row r="94" spans="1:6" x14ac:dyDescent="0.2">
      <c r="A94" s="4">
        <v>45186</v>
      </c>
      <c r="B94" s="5">
        <v>-4.6665370406377199E-3</v>
      </c>
      <c r="C94" s="6">
        <v>-4.8745519713261302E-3</v>
      </c>
      <c r="D94" s="5">
        <v>-4.2490603039712698E-3</v>
      </c>
      <c r="E94" s="6">
        <v>1.9381946326918E-2</v>
      </c>
      <c r="F94" s="5">
        <v>-9.0843374865526797E-3</v>
      </c>
    </row>
    <row r="95" spans="1:6" x14ac:dyDescent="0.2">
      <c r="A95" s="4">
        <v>45185</v>
      </c>
      <c r="B95" s="5">
        <v>9.6191597958381996E-3</v>
      </c>
      <c r="C95" s="6">
        <v>-1.8603319977103E-3</v>
      </c>
      <c r="D95" s="5">
        <v>-1.0670978172999199E-2</v>
      </c>
      <c r="E95" s="6">
        <v>-9.5314807356692496E-3</v>
      </c>
      <c r="F95" s="5">
        <v>1.56631022063735E-3</v>
      </c>
    </row>
    <row r="96" spans="1:6" x14ac:dyDescent="0.2">
      <c r="A96" s="4">
        <v>45184</v>
      </c>
      <c r="B96" s="5">
        <v>-4.3002345582487198E-3</v>
      </c>
      <c r="C96" s="6">
        <v>-1.1738085136473E-2</v>
      </c>
      <c r="D96" s="5">
        <v>3.0833333333333299E-2</v>
      </c>
      <c r="E96" s="6">
        <v>-1.2067578439259601E-3</v>
      </c>
      <c r="F96" s="5">
        <v>-2.4978461940899899E-3</v>
      </c>
    </row>
    <row r="97" spans="1:6" x14ac:dyDescent="0.2">
      <c r="A97" s="4">
        <v>45183</v>
      </c>
      <c r="B97" s="5">
        <v>-1.56128024980475E-3</v>
      </c>
      <c r="C97" s="6">
        <v>-8.4781687155577605E-4</v>
      </c>
      <c r="D97" s="5">
        <v>-7.6083360899768804E-3</v>
      </c>
      <c r="E97" s="6">
        <v>-1.9587222295254499E-2</v>
      </c>
      <c r="F97" s="5">
        <v>-4.8624659224184002E-3</v>
      </c>
    </row>
    <row r="98" spans="1:6" x14ac:dyDescent="0.2">
      <c r="A98" s="4">
        <v>45182</v>
      </c>
      <c r="B98" s="5">
        <v>7.0754716981131401E-3</v>
      </c>
      <c r="C98" s="6">
        <v>-2.9585798816566802E-3</v>
      </c>
      <c r="D98" s="5">
        <v>2.2492812447150502E-2</v>
      </c>
      <c r="E98" s="6">
        <v>1.31859350026639E-2</v>
      </c>
      <c r="F98" s="5">
        <v>5.5810049507768302E-3</v>
      </c>
    </row>
    <row r="99" spans="1:6" x14ac:dyDescent="0.2">
      <c r="A99" s="4">
        <v>45179</v>
      </c>
      <c r="B99" s="5">
        <v>-9.8173964264676992E-4</v>
      </c>
      <c r="C99" s="6">
        <v>-5.0462573591253503E-3</v>
      </c>
      <c r="D99" s="5">
        <v>3.22361723786898E-3</v>
      </c>
      <c r="E99" s="6">
        <v>-2.7892150351972698E-3</v>
      </c>
      <c r="F99" s="5">
        <v>7.1040017311552195E-4</v>
      </c>
    </row>
    <row r="100" spans="1:6" x14ac:dyDescent="0.2">
      <c r="A100" s="4">
        <v>45178</v>
      </c>
      <c r="B100" s="5">
        <v>-9.1439688715953104E-3</v>
      </c>
      <c r="C100" s="6">
        <v>-1.80316586373022E-2</v>
      </c>
      <c r="D100" s="5">
        <v>-1.1902766135792201E-2</v>
      </c>
      <c r="E100" s="6">
        <v>-1.07738799106557E-2</v>
      </c>
      <c r="F100" s="5">
        <v>-1.0051398556556001E-2</v>
      </c>
    </row>
    <row r="101" spans="1:6" x14ac:dyDescent="0.2">
      <c r="A101" s="4">
        <v>45177</v>
      </c>
      <c r="B101" s="5">
        <v>-5.41795665634666E-3</v>
      </c>
      <c r="C101" s="6">
        <v>-1.2102257274952399E-2</v>
      </c>
      <c r="D101" s="5">
        <v>-5.0268096514737698E-4</v>
      </c>
      <c r="E101" s="6">
        <v>-5.0980392156862401E-3</v>
      </c>
      <c r="F101" s="5">
        <v>-7.5307334772155001E-3</v>
      </c>
    </row>
    <row r="102" spans="1:6" x14ac:dyDescent="0.2">
      <c r="A102" s="4">
        <v>45176</v>
      </c>
      <c r="B102" s="5">
        <v>3.8850038850038902E-3</v>
      </c>
      <c r="C102" s="6">
        <v>-1.16919768848274E-2</v>
      </c>
      <c r="D102" s="5">
        <v>-1.67532249958155E-4</v>
      </c>
      <c r="E102" s="6">
        <v>-1.2265978050355101E-2</v>
      </c>
      <c r="F102" s="5">
        <v>-5.2607559571348399E-3</v>
      </c>
    </row>
    <row r="103" spans="1:6" x14ac:dyDescent="0.2">
      <c r="A103" s="4">
        <v>45175</v>
      </c>
      <c r="B103" s="5">
        <v>6.6484161126319496E-3</v>
      </c>
      <c r="C103" s="6">
        <v>6.3565052745469903E-3</v>
      </c>
      <c r="D103" s="5">
        <v>6.2373567093727796E-3</v>
      </c>
      <c r="E103" s="6">
        <v>7.2831317466510899E-3</v>
      </c>
      <c r="F103" s="5">
        <v>6.8405163658268302E-3</v>
      </c>
    </row>
    <row r="104" spans="1:6" x14ac:dyDescent="0.2">
      <c r="A104" s="4">
        <v>45172</v>
      </c>
      <c r="B104" s="5">
        <v>-3.50740452065485E-3</v>
      </c>
      <c r="C104" s="6">
        <v>1.76127895949052E-3</v>
      </c>
      <c r="D104" s="5">
        <v>-1.10036678892963E-2</v>
      </c>
      <c r="E104" s="6">
        <v>-7.2304712717882798E-3</v>
      </c>
      <c r="F104" s="5">
        <v>-3.56649311129403E-3</v>
      </c>
    </row>
    <row r="105" spans="1:6" x14ac:dyDescent="0.2">
      <c r="A105" s="4">
        <v>45171</v>
      </c>
      <c r="B105" s="5">
        <v>2.3437500000000901E-3</v>
      </c>
      <c r="C105" s="6">
        <v>3.2621992660051302E-3</v>
      </c>
      <c r="D105" s="5">
        <v>1.9201359388275201E-2</v>
      </c>
      <c r="E105" s="6">
        <v>1.2928248222365899E-3</v>
      </c>
      <c r="F105" s="5">
        <v>1.966477571526E-3</v>
      </c>
    </row>
    <row r="106" spans="1:6" x14ac:dyDescent="0.2">
      <c r="A106" s="4">
        <v>45170</v>
      </c>
      <c r="B106" s="5">
        <v>3.3313737017440499E-3</v>
      </c>
      <c r="C106" s="6">
        <v>6.42954856361155E-3</v>
      </c>
      <c r="D106" s="5">
        <v>-9.0924398046808904E-3</v>
      </c>
      <c r="E106" s="6">
        <v>1.4241325737959899E-3</v>
      </c>
      <c r="F106" s="5">
        <v>4.2333244378274801E-3</v>
      </c>
    </row>
    <row r="107" spans="1:6" x14ac:dyDescent="0.2">
      <c r="A107" s="4">
        <v>45169</v>
      </c>
      <c r="B107" s="5">
        <v>1.1771630370806801E-3</v>
      </c>
      <c r="C107" s="6">
        <v>-9.2165898617510896E-3</v>
      </c>
      <c r="D107" s="5">
        <v>-1.83471074380166E-2</v>
      </c>
      <c r="E107" s="6">
        <v>-2.2154703126978099E-2</v>
      </c>
      <c r="F107" s="5">
        <v>-3.9605428643776901E-3</v>
      </c>
    </row>
    <row r="108" spans="1:6" x14ac:dyDescent="0.2">
      <c r="A108" s="4">
        <v>45165</v>
      </c>
      <c r="B108" s="5">
        <v>7.3122529644268604E-3</v>
      </c>
      <c r="C108" s="6">
        <v>-2.0289463005545801E-3</v>
      </c>
      <c r="D108" s="5">
        <v>2.0064070139942599E-2</v>
      </c>
      <c r="E108" s="6">
        <v>-1.2643823492224E-3</v>
      </c>
      <c r="F108" s="5">
        <v>3.23228977484858E-3</v>
      </c>
    </row>
    <row r="109" spans="1:6" x14ac:dyDescent="0.2">
      <c r="A109" s="4">
        <v>45164</v>
      </c>
      <c r="B109" s="5">
        <v>5.7642615782150198E-3</v>
      </c>
      <c r="C109" s="6">
        <v>-2.8324790936067202E-3</v>
      </c>
      <c r="D109" s="5">
        <v>-6.0331825037707801E-3</v>
      </c>
      <c r="E109" s="6">
        <v>-8.4002006018054701E-3</v>
      </c>
      <c r="F109" s="5">
        <v>-3.5160249058757498E-3</v>
      </c>
    </row>
    <row r="110" spans="1:6" x14ac:dyDescent="0.2">
      <c r="A110" s="4">
        <v>45163</v>
      </c>
      <c r="B110" s="5">
        <v>1.9916351324437398E-3</v>
      </c>
      <c r="C110" s="6">
        <v>-6.7394527564361797E-4</v>
      </c>
      <c r="D110" s="5">
        <v>-1.6730801405387299E-3</v>
      </c>
      <c r="E110" s="6">
        <v>2.1516393442622999E-2</v>
      </c>
      <c r="F110" s="5">
        <v>3.41576641434343E-3</v>
      </c>
    </row>
    <row r="111" spans="1:6" x14ac:dyDescent="0.2">
      <c r="A111" s="4">
        <v>45162</v>
      </c>
      <c r="B111" s="5">
        <v>-1.7892644135188401E-3</v>
      </c>
      <c r="C111" s="6">
        <v>-1.23801916932908E-2</v>
      </c>
      <c r="D111" s="5">
        <v>1.3050847457627201E-2</v>
      </c>
      <c r="E111" s="6">
        <v>-1.2270714737507999E-2</v>
      </c>
      <c r="F111" s="5">
        <v>2.3575682724200102E-3</v>
      </c>
    </row>
    <row r="112" spans="1:6" x14ac:dyDescent="0.2">
      <c r="A112" s="4">
        <v>45161</v>
      </c>
      <c r="B112" s="5">
        <v>2.0283975659229202E-2</v>
      </c>
      <c r="C112" s="6">
        <v>-8.5785931107298392E-3</v>
      </c>
      <c r="D112" s="5">
        <v>2.4839326037866899E-2</v>
      </c>
      <c r="E112" s="6">
        <v>-2.27186671715254E-3</v>
      </c>
      <c r="F112" s="5">
        <v>2.9797260119359499E-3</v>
      </c>
    </row>
    <row r="113" spans="1:6" x14ac:dyDescent="0.2">
      <c r="A113" s="4">
        <v>45158</v>
      </c>
      <c r="B113" s="5">
        <v>1.02459016393443E-2</v>
      </c>
      <c r="C113" s="6">
        <v>1.1892177589853199E-3</v>
      </c>
      <c r="D113" s="5">
        <v>3.4752389226767199E-4</v>
      </c>
      <c r="E113" s="6">
        <v>5.2017254503931897E-3</v>
      </c>
      <c r="F113" s="5">
        <v>4.1139787444431503E-3</v>
      </c>
    </row>
    <row r="114" spans="1:6" x14ac:dyDescent="0.2">
      <c r="A114" s="4">
        <v>45157</v>
      </c>
      <c r="B114" s="5">
        <v>-5.29963310232373E-3</v>
      </c>
      <c r="C114" s="6">
        <v>-7.9958054790929597E-3</v>
      </c>
      <c r="D114" s="5">
        <v>-4.9231785891293497E-2</v>
      </c>
      <c r="E114" s="6">
        <v>-2.7993587372055699E-2</v>
      </c>
      <c r="F114" s="5">
        <v>-1.5407318964699599E-2</v>
      </c>
    </row>
    <row r="115" spans="1:6" x14ac:dyDescent="0.2">
      <c r="A115" s="4">
        <v>45156</v>
      </c>
      <c r="B115" s="5">
        <v>2.03873598369058E-4</v>
      </c>
      <c r="C115" s="6">
        <v>6.1988921128988796E-3</v>
      </c>
      <c r="D115" s="5">
        <v>6.6126632501236097E-4</v>
      </c>
      <c r="E115" s="6">
        <v>-9.8558580756445495E-4</v>
      </c>
      <c r="F115" s="5">
        <v>-1.64180746430565E-3</v>
      </c>
    </row>
    <row r="116" spans="1:6" x14ac:dyDescent="0.2">
      <c r="A116" s="4">
        <v>45155</v>
      </c>
      <c r="B116" s="5">
        <v>1.30111524163569E-2</v>
      </c>
      <c r="C116" s="6">
        <v>1.14727854855923E-2</v>
      </c>
      <c r="D116" s="5">
        <v>1.4932885906040199E-2</v>
      </c>
      <c r="E116" s="6">
        <v>1.6041461006911001E-3</v>
      </c>
      <c r="F116" s="5">
        <v>3.7922946387884899E-3</v>
      </c>
    </row>
    <row r="117" spans="1:6" x14ac:dyDescent="0.2">
      <c r="A117" s="4">
        <v>45154</v>
      </c>
      <c r="B117" s="5">
        <v>-3.4986622761884901E-3</v>
      </c>
      <c r="C117" s="6">
        <v>4.9604504625285501E-3</v>
      </c>
      <c r="D117" s="5">
        <v>-2.4070738496807E-2</v>
      </c>
      <c r="E117" s="6">
        <v>-1.53098420413123E-2</v>
      </c>
      <c r="F117" s="5">
        <v>-8.9669760940667299E-3</v>
      </c>
    </row>
    <row r="118" spans="1:6" x14ac:dyDescent="0.2">
      <c r="A118" s="4">
        <v>45151</v>
      </c>
      <c r="B118" s="5">
        <v>7.2553897180762904E-3</v>
      </c>
      <c r="C118" s="6">
        <v>1.2075983717774699E-2</v>
      </c>
      <c r="D118" s="5">
        <v>-5.2125753380028199E-3</v>
      </c>
      <c r="E118" s="6">
        <v>3.7809488962068801E-3</v>
      </c>
      <c r="F118" s="5">
        <v>3.5422195592245001E-3</v>
      </c>
    </row>
    <row r="119" spans="1:6" x14ac:dyDescent="0.2">
      <c r="A119" s="4">
        <v>45150</v>
      </c>
      <c r="B119" s="5">
        <v>9.6274591879446803E-3</v>
      </c>
      <c r="C119" s="6">
        <v>5.8687047905008199E-3</v>
      </c>
      <c r="D119" s="5">
        <v>-1.5239011870388199E-2</v>
      </c>
      <c r="E119" s="6">
        <v>-6.6634359098618904E-3</v>
      </c>
      <c r="F119" s="5">
        <v>-3.7270745442610199E-3</v>
      </c>
    </row>
    <row r="120" spans="1:6" x14ac:dyDescent="0.2">
      <c r="A120" s="4">
        <v>45149</v>
      </c>
      <c r="B120" s="5">
        <v>1.8763326226012799E-2</v>
      </c>
      <c r="C120" s="6">
        <v>1.3416320885200599E-2</v>
      </c>
      <c r="D120" s="5">
        <v>9.0644221430884204E-3</v>
      </c>
      <c r="E120" s="6">
        <v>6.7081351384315202E-3</v>
      </c>
      <c r="F120" s="5">
        <v>8.2529911856378899E-3</v>
      </c>
    </row>
    <row r="121" spans="1:6" x14ac:dyDescent="0.2">
      <c r="A121" s="4">
        <v>45148</v>
      </c>
      <c r="B121" s="5">
        <v>3.6379199657607299E-3</v>
      </c>
      <c r="C121" s="6">
        <v>-1.6570008285004801E-3</v>
      </c>
      <c r="D121" s="5">
        <v>1.1294810934686501E-2</v>
      </c>
      <c r="E121" s="6">
        <v>-1.94765672550216E-3</v>
      </c>
      <c r="F121" s="5">
        <v>4.0295556832998904E-3</v>
      </c>
    </row>
    <row r="122" spans="1:6" x14ac:dyDescent="0.2">
      <c r="A122" s="4">
        <v>45147</v>
      </c>
      <c r="B122" s="5">
        <v>2.1445421402530602E-3</v>
      </c>
      <c r="C122" s="6">
        <v>8.3542188805346695E-3</v>
      </c>
      <c r="D122" s="5">
        <v>-6.5051227841925498E-3</v>
      </c>
      <c r="E122" s="6">
        <v>2.19592533853843E-3</v>
      </c>
      <c r="F122" s="5">
        <v>1.3126583789020499E-3</v>
      </c>
    </row>
    <row r="123" spans="1:6" x14ac:dyDescent="0.2">
      <c r="A123" s="4">
        <v>45144</v>
      </c>
      <c r="B123" s="5">
        <v>5.6070735389260797E-3</v>
      </c>
      <c r="C123" s="6">
        <v>-3.8834951456310001E-3</v>
      </c>
      <c r="D123" s="5">
        <v>5.5600981193785403E-3</v>
      </c>
      <c r="E123" s="6">
        <v>1.7249937949863601E-2</v>
      </c>
      <c r="F123" s="5">
        <v>3.5391121041840502E-4</v>
      </c>
    </row>
    <row r="124" spans="1:6" x14ac:dyDescent="0.2">
      <c r="A124" s="4">
        <v>45143</v>
      </c>
      <c r="B124" s="5">
        <v>-6.4281122776944496E-3</v>
      </c>
      <c r="C124" s="6">
        <v>5.8593750000000598E-3</v>
      </c>
      <c r="D124" s="5">
        <v>9.0759075907590799E-3</v>
      </c>
      <c r="E124" s="6">
        <v>6.2437562437562396E-3</v>
      </c>
      <c r="F124" s="5">
        <v>-4.81480545659149E-4</v>
      </c>
    </row>
    <row r="125" spans="1:6" x14ac:dyDescent="0.2">
      <c r="A125" s="4">
        <v>45142</v>
      </c>
      <c r="B125" s="5">
        <v>-8.7085811384877299E-3</v>
      </c>
      <c r="C125" s="6">
        <v>1.3952839402805799E-4</v>
      </c>
      <c r="D125" s="5">
        <v>-1.0127409343351899E-2</v>
      </c>
      <c r="E125" s="6">
        <v>5.9037809320436297E-3</v>
      </c>
      <c r="F125" s="5">
        <v>2.5528728967647799E-3</v>
      </c>
    </row>
    <row r="126" spans="1:6" x14ac:dyDescent="0.2">
      <c r="A126" s="4">
        <v>45141</v>
      </c>
      <c r="B126" s="5">
        <v>7.7054794520548401E-3</v>
      </c>
      <c r="C126" s="6">
        <v>4.0627626786215896E-3</v>
      </c>
      <c r="D126" s="5">
        <v>5.64279551337361E-2</v>
      </c>
      <c r="E126" s="6">
        <v>4.79616306954445E-3</v>
      </c>
      <c r="F126" s="5">
        <v>3.3890071903435902E-3</v>
      </c>
    </row>
    <row r="127" spans="1:6" x14ac:dyDescent="0.2">
      <c r="A127" s="4">
        <v>45140</v>
      </c>
      <c r="B127" s="5">
        <v>2.5751072961373101E-3</v>
      </c>
      <c r="C127" s="6">
        <v>6.91211736493155E-3</v>
      </c>
      <c r="D127" s="5">
        <v>1.9017980636238301E-3</v>
      </c>
      <c r="E127" s="6">
        <v>-3.27085167945656E-3</v>
      </c>
      <c r="F127" s="5">
        <v>7.0275727713550399E-3</v>
      </c>
    </row>
    <row r="128" spans="1:6" x14ac:dyDescent="0.2">
      <c r="A128" s="4">
        <v>45137</v>
      </c>
      <c r="B128" s="5">
        <v>-1.07181136120043E-3</v>
      </c>
      <c r="C128" s="6">
        <v>8.1058020477814702E-3</v>
      </c>
      <c r="D128" s="5">
        <v>-2.181633688483E-2</v>
      </c>
      <c r="E128" s="6">
        <v>-8.8528678304239695E-3</v>
      </c>
      <c r="F128" s="5">
        <v>-6.5155783352782003E-3</v>
      </c>
    </row>
    <row r="129" spans="1:6" x14ac:dyDescent="0.2">
      <c r="A129" s="4">
        <v>45136</v>
      </c>
      <c r="B129" s="5">
        <v>4.2890842805058698E-4</v>
      </c>
      <c r="C129" s="6">
        <v>3.42465753424671E-3</v>
      </c>
      <c r="D129" s="5">
        <v>1.3193968471555699E-2</v>
      </c>
      <c r="E129" s="6">
        <v>1.10943015632879E-2</v>
      </c>
      <c r="F129" s="5">
        <v>8.8062217902326306E-3</v>
      </c>
    </row>
    <row r="130" spans="1:6" x14ac:dyDescent="0.2">
      <c r="A130" s="4">
        <v>45135</v>
      </c>
      <c r="B130" s="5">
        <v>-5.33276450511945E-3</v>
      </c>
      <c r="C130" s="6">
        <v>1.7152658662091601E-3</v>
      </c>
      <c r="D130" s="5">
        <v>1.3726835964311399E-3</v>
      </c>
      <c r="E130" s="6">
        <v>-1.66129432184478E-2</v>
      </c>
      <c r="F130" s="5">
        <v>2.93735920687016E-3</v>
      </c>
    </row>
    <row r="131" spans="1:6" x14ac:dyDescent="0.2">
      <c r="A131" s="4">
        <v>45134</v>
      </c>
      <c r="B131" s="5">
        <v>8.6058519793459493E-3</v>
      </c>
      <c r="C131" s="6">
        <v>-4.2863266180876499E-4</v>
      </c>
      <c r="D131" s="5">
        <v>-2.9084687767323299E-3</v>
      </c>
      <c r="E131" s="6">
        <v>9.9280218416489003E-4</v>
      </c>
      <c r="F131" s="5">
        <v>-4.1776802274025001E-3</v>
      </c>
    </row>
    <row r="132" spans="1:6" x14ac:dyDescent="0.2">
      <c r="A132" s="4">
        <v>45133</v>
      </c>
      <c r="B132" s="5">
        <v>-8.1092616303884094E-3</v>
      </c>
      <c r="C132" s="6">
        <v>-1.14406779661017E-2</v>
      </c>
      <c r="D132" s="5">
        <v>2.8687082013375501E-2</v>
      </c>
      <c r="E132" s="6">
        <v>3.2370517928285701E-3</v>
      </c>
      <c r="F132" s="5">
        <v>-3.0593746353647098E-4</v>
      </c>
    </row>
    <row r="133" spans="1:6" x14ac:dyDescent="0.2">
      <c r="A133" s="4">
        <v>45130</v>
      </c>
      <c r="B133" s="5">
        <v>1.0785159620362399E-2</v>
      </c>
      <c r="C133" s="6">
        <v>4.5402951191828101E-3</v>
      </c>
      <c r="D133" s="5">
        <v>3.5211267605641801E-4</v>
      </c>
      <c r="E133" s="6">
        <v>2.24606937858756E-3</v>
      </c>
      <c r="F133" s="5">
        <v>8.5070964223698392E-3</v>
      </c>
    </row>
    <row r="134" spans="1:6" x14ac:dyDescent="0.2">
      <c r="A134" s="4">
        <v>45129</v>
      </c>
      <c r="B134" s="5">
        <v>2.1616947686986599E-3</v>
      </c>
      <c r="C134" s="6">
        <v>-2.9707172160136101E-3</v>
      </c>
      <c r="D134" s="5">
        <v>-1.8828813266540002E-2</v>
      </c>
      <c r="E134" s="6">
        <v>-2.8617643399279202E-3</v>
      </c>
      <c r="F134" s="5">
        <v>-4.2839097606839904E-3</v>
      </c>
    </row>
    <row r="135" spans="1:6" x14ac:dyDescent="0.2">
      <c r="A135" s="4">
        <v>45128</v>
      </c>
      <c r="B135" s="5">
        <v>7.1848465055519501E-3</v>
      </c>
      <c r="C135" s="6">
        <v>9.9122061738874507E-4</v>
      </c>
      <c r="D135" s="5">
        <v>3.3196501873996101E-2</v>
      </c>
      <c r="E135" s="6">
        <v>1.52854977261243E-2</v>
      </c>
      <c r="F135" s="5">
        <v>1.7024820051357799E-2</v>
      </c>
    </row>
    <row r="136" spans="1:6" x14ac:dyDescent="0.2">
      <c r="A136" s="4">
        <v>45127</v>
      </c>
      <c r="B136" s="5">
        <v>-6.7041522491348704E-3</v>
      </c>
      <c r="C136" s="6">
        <v>-1.1315417256010699E-3</v>
      </c>
      <c r="D136" s="5">
        <v>6.1052253546417298E-3</v>
      </c>
      <c r="E136" s="6">
        <v>1.02092904543134E-2</v>
      </c>
      <c r="F136" s="5">
        <v>5.3678998420604003E-3</v>
      </c>
    </row>
    <row r="137" spans="1:6" x14ac:dyDescent="0.2">
      <c r="A137" s="4">
        <v>45126</v>
      </c>
      <c r="B137" s="5">
        <v>-1.5751383567475599E-2</v>
      </c>
      <c r="C137" s="6">
        <v>-7.4406851045906997E-3</v>
      </c>
      <c r="D137" s="5">
        <v>-4.7219846022241302E-2</v>
      </c>
      <c r="E137" s="6">
        <v>-2.8394296342219402E-2</v>
      </c>
      <c r="F137" s="5">
        <v>-2.3358718281300601E-2</v>
      </c>
    </row>
    <row r="138" spans="1:6" x14ac:dyDescent="0.2">
      <c r="A138" s="4">
        <v>45123</v>
      </c>
      <c r="B138" s="5">
        <v>8.3708950418545508E-3</v>
      </c>
      <c r="C138" s="6">
        <v>1.25088841506751E-2</v>
      </c>
      <c r="D138" s="5">
        <v>-1.28356696503969E-2</v>
      </c>
      <c r="E138" s="6">
        <v>-1.34556574923547E-2</v>
      </c>
      <c r="F138" s="5">
        <v>-5.6046617094650199E-4</v>
      </c>
    </row>
    <row r="139" spans="1:6" x14ac:dyDescent="0.2">
      <c r="A139" s="4">
        <v>45122</v>
      </c>
      <c r="B139" s="5">
        <v>-1.14576702737111E-2</v>
      </c>
      <c r="C139" s="6">
        <v>-2.14216163583252E-2</v>
      </c>
      <c r="D139" s="5">
        <v>-2.8547990155865399E-2</v>
      </c>
      <c r="E139" s="6">
        <v>-5.5954263471597399E-3</v>
      </c>
      <c r="F139" s="5">
        <v>-1.11645577117521E-2</v>
      </c>
    </row>
    <row r="140" spans="1:6" x14ac:dyDescent="0.2">
      <c r="A140" s="4">
        <v>45121</v>
      </c>
      <c r="B140" s="5">
        <v>-5.4863895336568196E-3</v>
      </c>
      <c r="C140" s="6">
        <v>-4.43151918016901E-3</v>
      </c>
      <c r="D140" s="5">
        <v>-3.7593984962405302E-3</v>
      </c>
      <c r="E140" s="6">
        <v>-2.7899078117418199E-3</v>
      </c>
      <c r="F140" s="5">
        <v>-4.7061498557137201E-3</v>
      </c>
    </row>
    <row r="141" spans="1:6" x14ac:dyDescent="0.2">
      <c r="A141" s="4">
        <v>45120</v>
      </c>
      <c r="B141" s="5">
        <v>4.0254237288135097E-3</v>
      </c>
      <c r="C141" s="6">
        <v>3.75312760633868E-3</v>
      </c>
      <c r="D141" s="5">
        <v>-1.05126961022158E-2</v>
      </c>
      <c r="E141" s="6">
        <v>-1.5744217027977099E-3</v>
      </c>
      <c r="F141" s="5">
        <v>-9.8239823056018894E-5</v>
      </c>
    </row>
    <row r="142" spans="1:6" x14ac:dyDescent="0.2">
      <c r="A142" s="4">
        <v>45119</v>
      </c>
      <c r="B142" s="5">
        <v>-7.1518721076987302E-3</v>
      </c>
      <c r="C142" s="6">
        <v>2.5083612040133099E-3</v>
      </c>
      <c r="D142" s="5">
        <v>-5.62881955612737E-3</v>
      </c>
      <c r="E142" s="6">
        <v>-3.0185945423810701E-3</v>
      </c>
      <c r="F142" s="5">
        <v>4.9705976511819395E-4</v>
      </c>
    </row>
    <row r="143" spans="1:6" x14ac:dyDescent="0.2">
      <c r="A143" s="4">
        <v>45116</v>
      </c>
      <c r="B143" s="5">
        <v>1.47278548559231E-2</v>
      </c>
      <c r="C143" s="6">
        <v>6.4516129032258403E-3</v>
      </c>
      <c r="D143" s="5">
        <v>1.03997400064998E-2</v>
      </c>
      <c r="E143" s="6">
        <v>8.5241110569897697E-3</v>
      </c>
      <c r="F143" s="5">
        <v>1.29745998241986E-2</v>
      </c>
    </row>
    <row r="144" spans="1:6" x14ac:dyDescent="0.2">
      <c r="A144" s="4">
        <v>45115</v>
      </c>
      <c r="B144" s="5">
        <v>-1.3476521372920601E-2</v>
      </c>
      <c r="C144" s="6">
        <v>-7.6548364648573401E-3</v>
      </c>
      <c r="D144" s="5">
        <v>0</v>
      </c>
      <c r="E144" s="6">
        <v>-1.7585835626271001E-2</v>
      </c>
      <c r="F144" s="5">
        <v>-1.6831165344244701E-2</v>
      </c>
    </row>
    <row r="145" spans="1:6" x14ac:dyDescent="0.2">
      <c r="A145" s="4">
        <v>45114</v>
      </c>
      <c r="B145" s="5">
        <v>1.3660618996798201E-2</v>
      </c>
      <c r="C145" s="6">
        <v>1.95230790684699E-3</v>
      </c>
      <c r="D145" s="5">
        <v>-9.9742599742600503E-3</v>
      </c>
      <c r="E145" s="6">
        <v>3.4813925570227802E-3</v>
      </c>
      <c r="F145" s="5">
        <v>7.0610966528092799E-3</v>
      </c>
    </row>
    <row r="146" spans="1:6" x14ac:dyDescent="0.2">
      <c r="A146" s="4">
        <v>45113</v>
      </c>
      <c r="B146" s="5">
        <v>1.1879049676025899E-2</v>
      </c>
      <c r="C146" s="6">
        <v>1.2566322256352699E-3</v>
      </c>
      <c r="D146" s="5">
        <v>-4.1480339244410101E-2</v>
      </c>
      <c r="E146" s="6">
        <v>-1.5599149137319799E-2</v>
      </c>
      <c r="F146" s="5">
        <v>-8.9366091130244091E-3</v>
      </c>
    </row>
    <row r="147" spans="1:6" x14ac:dyDescent="0.2">
      <c r="A147" s="4">
        <v>45112</v>
      </c>
      <c r="B147" s="5">
        <v>3.07212822796082E-2</v>
      </c>
      <c r="C147" s="6">
        <v>-3.7557379329530298E-3</v>
      </c>
      <c r="D147" s="5">
        <v>8.8674548848787296E-3</v>
      </c>
      <c r="E147" s="6">
        <v>1.54806192247691E-2</v>
      </c>
      <c r="F147" s="5">
        <v>5.84562988627406E-3</v>
      </c>
    </row>
    <row r="148" spans="1:6" x14ac:dyDescent="0.2">
      <c r="A148" s="4">
        <v>45109</v>
      </c>
      <c r="B148" s="5">
        <v>6.72344240251009E-3</v>
      </c>
      <c r="C148" s="6">
        <v>-1.3908205841449601E-4</v>
      </c>
      <c r="D148" s="5">
        <v>-9.5531587057011494E-3</v>
      </c>
      <c r="E148" s="6">
        <v>-1.5826148576827799E-2</v>
      </c>
      <c r="F148" s="5">
        <v>-2.6525720124171499E-4</v>
      </c>
    </row>
    <row r="149" spans="1:6" x14ac:dyDescent="0.2">
      <c r="A149" s="4">
        <v>45108</v>
      </c>
      <c r="B149" s="5">
        <v>6.7279659116396395E-4</v>
      </c>
      <c r="C149" s="6">
        <v>1.3104128505002E-2</v>
      </c>
      <c r="D149" s="5">
        <v>3.0158730158730201E-2</v>
      </c>
      <c r="E149" s="6">
        <v>1.4497963096094E-2</v>
      </c>
      <c r="F149" s="5">
        <v>1.2460443881110599E-2</v>
      </c>
    </row>
    <row r="150" spans="1:6" x14ac:dyDescent="0.2">
      <c r="A150" s="4">
        <v>45107</v>
      </c>
      <c r="B150" s="5">
        <v>4.4873233116443499E-4</v>
      </c>
      <c r="C150" s="6">
        <v>-4.3490460157125602E-3</v>
      </c>
      <c r="D150" s="5">
        <v>-3.1645569620253199E-3</v>
      </c>
      <c r="E150" s="6">
        <v>-9.4944220270591004E-3</v>
      </c>
      <c r="F150" s="5">
        <v>-7.0659113515953902E-3</v>
      </c>
    </row>
    <row r="151" spans="1:6" x14ac:dyDescent="0.2">
      <c r="A151" s="4">
        <v>45106</v>
      </c>
      <c r="B151" s="5">
        <v>-4.9118106720249799E-3</v>
      </c>
      <c r="C151" s="6">
        <v>3.0959752321980498E-3</v>
      </c>
      <c r="D151" s="5">
        <v>2.6971283515786898E-3</v>
      </c>
      <c r="E151" s="6">
        <v>2.1408182683159702E-3</v>
      </c>
      <c r="F151" s="5">
        <v>2.0613688450537601E-3</v>
      </c>
    </row>
    <row r="152" spans="1:6" x14ac:dyDescent="0.2">
      <c r="A152" s="4">
        <v>45105</v>
      </c>
      <c r="B152" s="5">
        <v>-2.44988864142544E-3</v>
      </c>
      <c r="C152" s="6">
        <v>5.6609114067364798E-3</v>
      </c>
      <c r="D152" s="5">
        <v>-3.1797235023041499E-2</v>
      </c>
      <c r="E152" s="6">
        <v>-1.6723190270143899E-2</v>
      </c>
      <c r="F152" s="5">
        <v>-8.8424020504282407E-3</v>
      </c>
    </row>
    <row r="153" spans="1:6" x14ac:dyDescent="0.2">
      <c r="A153" s="4">
        <v>45102</v>
      </c>
      <c r="B153" s="5">
        <v>5.1488694873517201E-3</v>
      </c>
      <c r="C153" s="6">
        <v>1.55917788802271E-3</v>
      </c>
      <c r="D153" s="5">
        <v>3.70027752081403E-3</v>
      </c>
      <c r="E153" s="6">
        <v>6.9477154969382702E-3</v>
      </c>
      <c r="F153" s="5">
        <v>3.6709015649854298E-3</v>
      </c>
    </row>
    <row r="154" spans="1:6" x14ac:dyDescent="0.2">
      <c r="A154" s="4">
        <v>45101</v>
      </c>
      <c r="B154" s="5">
        <v>1.56950672645737E-3</v>
      </c>
      <c r="C154" s="6">
        <v>1.2773204655123201E-3</v>
      </c>
      <c r="D154" s="5">
        <v>3.0845157310309298E-4</v>
      </c>
      <c r="E154" s="6">
        <v>8.7906866239012699E-3</v>
      </c>
      <c r="F154" s="5">
        <v>5.0762928219438104E-3</v>
      </c>
    </row>
    <row r="155" spans="1:6" x14ac:dyDescent="0.2">
      <c r="A155" s="4">
        <v>45100</v>
      </c>
      <c r="B155" s="5">
        <v>-5.3523639607492802E-3</v>
      </c>
      <c r="C155" s="6">
        <v>1.0324060797247001E-2</v>
      </c>
      <c r="D155" s="5">
        <v>4.64828013634955E-3</v>
      </c>
      <c r="E155" s="6">
        <v>-6.7256637168142102E-3</v>
      </c>
      <c r="F155" s="5">
        <v>-2.2496442177091201E-3</v>
      </c>
    </row>
    <row r="156" spans="1:6" x14ac:dyDescent="0.2">
      <c r="A156" s="4">
        <v>45099</v>
      </c>
      <c r="B156" s="5">
        <v>-6.2056737588652702E-3</v>
      </c>
      <c r="C156" s="6">
        <v>-1.42756183745583E-2</v>
      </c>
      <c r="D156" s="5">
        <v>1.8462995108095199E-2</v>
      </c>
      <c r="E156" s="6">
        <v>-6.5642949243934203E-3</v>
      </c>
      <c r="F156" s="5">
        <v>3.9250724623316599E-3</v>
      </c>
    </row>
    <row r="157" spans="1:6" x14ac:dyDescent="0.2">
      <c r="A157" s="4">
        <v>45098</v>
      </c>
      <c r="B157" s="5">
        <v>1.7361894024802701E-2</v>
      </c>
      <c r="C157" s="6">
        <v>-5.90136293382049E-3</v>
      </c>
      <c r="D157" s="5">
        <v>4.5973367152823304E-3</v>
      </c>
      <c r="E157" s="6">
        <v>-6.6371681415928396E-3</v>
      </c>
      <c r="F157" s="5">
        <v>6.3869172223037203E-3</v>
      </c>
    </row>
    <row r="158" spans="1:6" x14ac:dyDescent="0.2">
      <c r="A158" s="4">
        <v>45095</v>
      </c>
      <c r="B158" s="5">
        <v>-4.0666234047155601E-2</v>
      </c>
      <c r="C158" s="6">
        <v>-8.3600390135154003E-3</v>
      </c>
      <c r="D158" s="5">
        <v>-2.66934115105695E-2</v>
      </c>
      <c r="E158" s="6">
        <v>-2.27583067819754E-2</v>
      </c>
      <c r="F158" s="5">
        <v>-1.90062669236995E-2</v>
      </c>
    </row>
    <row r="159" spans="1:6" x14ac:dyDescent="0.2">
      <c r="A159" s="4">
        <v>45094</v>
      </c>
      <c r="B159" s="5">
        <v>4.3449923962633101E-3</v>
      </c>
      <c r="C159" s="6">
        <v>-1.39314572304136E-4</v>
      </c>
      <c r="D159" s="5">
        <v>-1.48958808329533E-2</v>
      </c>
      <c r="E159" s="6">
        <v>3.08183997260579E-3</v>
      </c>
      <c r="F159" s="5">
        <v>-4.3869477171030501E-3</v>
      </c>
    </row>
    <row r="160" spans="1:6" x14ac:dyDescent="0.2">
      <c r="A160" s="4">
        <v>45093</v>
      </c>
      <c r="B160" s="5">
        <v>-3.6796536796536599E-3</v>
      </c>
      <c r="C160" s="6">
        <v>1.31263232180663E-2</v>
      </c>
      <c r="D160" s="5">
        <v>-1.1271415689810599E-2</v>
      </c>
      <c r="E160" s="6">
        <v>4.3562994382667303E-3</v>
      </c>
      <c r="F160" s="5">
        <v>1.73858972071031E-3</v>
      </c>
    </row>
    <row r="161" spans="1:6" x14ac:dyDescent="0.2">
      <c r="A161" s="4">
        <v>45092</v>
      </c>
      <c r="B161" s="5">
        <v>-3.2362459546925598E-3</v>
      </c>
      <c r="C161" s="6">
        <v>6.8210885320448399E-3</v>
      </c>
      <c r="D161" s="5">
        <v>6.9612590799031796E-3</v>
      </c>
      <c r="E161" s="6">
        <v>-7.5093867334168002E-3</v>
      </c>
      <c r="F161" s="5">
        <v>3.61006789166428E-3</v>
      </c>
    </row>
    <row r="162" spans="1:6" x14ac:dyDescent="0.2">
      <c r="A162" s="4">
        <v>45091</v>
      </c>
      <c r="B162" s="5">
        <v>6.4766839378240795E-4</v>
      </c>
      <c r="C162" s="6">
        <v>2.8502208921191399E-3</v>
      </c>
      <c r="D162" s="5">
        <v>1.8809744064138E-2</v>
      </c>
      <c r="E162" s="6">
        <v>5.7214784300263196E-3</v>
      </c>
      <c r="F162" s="5">
        <v>1.7689786741350499E-3</v>
      </c>
    </row>
    <row r="163" spans="1:6" x14ac:dyDescent="0.2">
      <c r="A163" s="4">
        <v>45088</v>
      </c>
      <c r="B163" s="5">
        <v>1.5789473684210499E-2</v>
      </c>
      <c r="C163" s="6">
        <v>4.8689674924818696E-3</v>
      </c>
      <c r="D163" s="5">
        <v>2.9379928869645499E-3</v>
      </c>
      <c r="E163" s="6">
        <v>1.83423134242809E-3</v>
      </c>
      <c r="F163" s="5">
        <v>6.4727475882384597E-3</v>
      </c>
    </row>
    <row r="164" spans="1:6" x14ac:dyDescent="0.2">
      <c r="A164" s="4">
        <v>45087</v>
      </c>
      <c r="B164" s="5">
        <v>6.4003531229308696E-3</v>
      </c>
      <c r="C164" s="6">
        <v>1.1735728774268201E-2</v>
      </c>
      <c r="D164" s="5">
        <v>-4.3110084680522799E-3</v>
      </c>
      <c r="E164" s="6">
        <v>-4.45103857566776E-3</v>
      </c>
      <c r="F164" s="5">
        <v>1.0125674162301799E-3</v>
      </c>
    </row>
    <row r="165" spans="1:6" x14ac:dyDescent="0.2">
      <c r="A165" s="4">
        <v>45086</v>
      </c>
      <c r="B165" s="5">
        <v>1.3259668508287801E-3</v>
      </c>
      <c r="C165" s="6">
        <v>2.1156975884006599E-2</v>
      </c>
      <c r="D165" s="5">
        <v>4.7957920792079597E-3</v>
      </c>
      <c r="E165" s="6">
        <v>-1.39545352239478E-2</v>
      </c>
      <c r="F165" s="5">
        <v>-1.9844709510379601E-3</v>
      </c>
    </row>
    <row r="166" spans="1:6" x14ac:dyDescent="0.2">
      <c r="A166" s="4">
        <v>45085</v>
      </c>
      <c r="B166" s="5">
        <v>2.8812056737588898E-3</v>
      </c>
      <c r="C166" s="6">
        <v>-4.4365572315892998E-4</v>
      </c>
      <c r="D166" s="5">
        <v>1.2531328320802001E-2</v>
      </c>
      <c r="E166" s="6">
        <v>-2.6936026936026699E-3</v>
      </c>
      <c r="F166" s="5">
        <v>2.5250027553191598E-3</v>
      </c>
    </row>
    <row r="167" spans="1:6" x14ac:dyDescent="0.2">
      <c r="A167" s="4">
        <v>45084</v>
      </c>
      <c r="B167" s="5">
        <v>2.6666666666666401E-3</v>
      </c>
      <c r="C167" s="6">
        <v>-1.32919805050949E-3</v>
      </c>
      <c r="D167" s="5">
        <v>-7.8259508530286403E-4</v>
      </c>
      <c r="E167" s="6">
        <v>3.4913841648834599E-3</v>
      </c>
      <c r="F167" s="5">
        <v>1.1571585392076301E-3</v>
      </c>
    </row>
    <row r="168" spans="1:6" x14ac:dyDescent="0.2">
      <c r="A168" s="4">
        <v>45081</v>
      </c>
      <c r="B168" s="5">
        <v>-3.1014621178555102E-3</v>
      </c>
      <c r="C168" s="6">
        <v>8.0393032603840696E-3</v>
      </c>
      <c r="D168" s="5">
        <v>-1.4347423634680801E-2</v>
      </c>
      <c r="E168" s="6">
        <v>-1.19074115290452E-2</v>
      </c>
      <c r="F168" s="5">
        <v>6.6389689072591195E-4</v>
      </c>
    </row>
    <row r="169" spans="1:6" x14ac:dyDescent="0.2">
      <c r="A169" s="4">
        <v>45080</v>
      </c>
      <c r="B169" s="5">
        <v>8.8691796008864095E-4</v>
      </c>
      <c r="C169" s="6">
        <v>2.68696820420969E-3</v>
      </c>
      <c r="D169" s="5">
        <v>7.3038073038073697E-3</v>
      </c>
      <c r="E169" s="6">
        <v>-5.3132610139472597E-3</v>
      </c>
      <c r="F169" s="5">
        <v>-6.1409679234664697E-3</v>
      </c>
    </row>
    <row r="170" spans="1:6" x14ac:dyDescent="0.2">
      <c r="A170" s="4">
        <v>45079</v>
      </c>
      <c r="B170" s="5">
        <v>2.4449877750611802E-3</v>
      </c>
      <c r="C170" s="6">
        <v>1.49499177754522E-3</v>
      </c>
      <c r="D170" s="5">
        <v>2.22398729150119E-2</v>
      </c>
      <c r="E170" s="6">
        <v>1.20994846515796E-2</v>
      </c>
      <c r="F170" s="5">
        <v>3.8895777957929198E-3</v>
      </c>
    </row>
    <row r="171" spans="1:6" x14ac:dyDescent="0.2">
      <c r="A171" s="4">
        <v>45078</v>
      </c>
      <c r="B171" s="5">
        <v>7.6147816349383599E-3</v>
      </c>
      <c r="C171" s="6">
        <v>-4.7611962505580202E-3</v>
      </c>
      <c r="D171" s="5">
        <v>2.8090805160868901E-2</v>
      </c>
      <c r="E171" s="6">
        <v>-1.9767186470459001E-2</v>
      </c>
      <c r="F171" s="5">
        <v>8.2376780142995806E-3</v>
      </c>
    </row>
    <row r="172" spans="1:6" x14ac:dyDescent="0.2">
      <c r="A172" s="4">
        <v>45074</v>
      </c>
      <c r="B172" s="5">
        <v>-3.3482142857142899E-3</v>
      </c>
      <c r="C172" s="6">
        <v>3.1343283582089898E-3</v>
      </c>
      <c r="D172" s="5">
        <v>-1.3048442342196501E-3</v>
      </c>
      <c r="E172" s="6">
        <v>1.13282985339849E-2</v>
      </c>
      <c r="F172" s="5">
        <v>4.18823107069079E-4</v>
      </c>
    </row>
    <row r="173" spans="1:6" x14ac:dyDescent="0.2">
      <c r="A173" s="4">
        <v>45073</v>
      </c>
      <c r="B173" s="5">
        <v>-5.3285968028418699E-3</v>
      </c>
      <c r="C173" s="6">
        <v>-9.7546556310966898E-3</v>
      </c>
      <c r="D173" s="5">
        <v>-1.33569359510781E-2</v>
      </c>
      <c r="E173" s="6">
        <v>7.4969229047778096E-3</v>
      </c>
      <c r="F173" s="5">
        <v>-1.03316811182127E-3</v>
      </c>
    </row>
    <row r="174" spans="1:6" x14ac:dyDescent="0.2">
      <c r="A174" s="4">
        <v>45072</v>
      </c>
      <c r="B174" s="5">
        <v>-6.6563124029290295E-4</v>
      </c>
      <c r="C174" s="6">
        <v>8.8757396449707499E-4</v>
      </c>
      <c r="D174" s="5">
        <v>2.0964360587001399E-3</v>
      </c>
      <c r="E174" s="6">
        <v>-6.8896544060450399E-3</v>
      </c>
      <c r="F174" s="5">
        <v>-4.0684003362826998E-4</v>
      </c>
    </row>
    <row r="175" spans="1:6" x14ac:dyDescent="0.2">
      <c r="A175" s="4">
        <v>45071</v>
      </c>
      <c r="B175" s="5">
        <v>-5.5163283318623102E-3</v>
      </c>
      <c r="C175" s="6">
        <v>-1.91938579654504E-3</v>
      </c>
      <c r="D175" s="5">
        <v>-2.0069532237673701E-2</v>
      </c>
      <c r="E175" s="6">
        <v>7.6139290113088698E-3</v>
      </c>
      <c r="F175" s="5">
        <v>-3.0915013493410999E-3</v>
      </c>
    </row>
    <row r="176" spans="1:6" x14ac:dyDescent="0.2">
      <c r="A176" s="4">
        <v>45070</v>
      </c>
      <c r="B176" s="5">
        <v>3.9875941515286001E-3</v>
      </c>
      <c r="C176" s="6">
        <v>-2.95202952029587E-4</v>
      </c>
      <c r="D176" s="5">
        <v>1.3452914798206201E-2</v>
      </c>
      <c r="E176" s="6">
        <v>4.7249409382383199E-3</v>
      </c>
      <c r="F176" s="5">
        <v>4.7791053070297303E-3</v>
      </c>
    </row>
    <row r="177" spans="1:6" x14ac:dyDescent="0.2">
      <c r="A177" s="4">
        <v>45067</v>
      </c>
      <c r="B177" s="5">
        <v>-3.3119894016339101E-3</v>
      </c>
      <c r="C177" s="6">
        <v>-3.6764705882352902E-3</v>
      </c>
      <c r="D177" s="5">
        <v>6.1231066709635101E-3</v>
      </c>
      <c r="E177" s="6">
        <v>-3.3636057854019501E-3</v>
      </c>
      <c r="F177" s="5">
        <v>-2.4787066279757401E-4</v>
      </c>
    </row>
    <row r="178" spans="1:6" x14ac:dyDescent="0.2">
      <c r="A178" s="4">
        <v>45066</v>
      </c>
      <c r="B178" s="5">
        <v>-2.3080241587575601E-2</v>
      </c>
      <c r="C178" s="6">
        <v>-4.9751243781094197E-3</v>
      </c>
      <c r="D178" s="5">
        <v>6.3239824874330702E-3</v>
      </c>
      <c r="E178" s="6">
        <v>5.9778930746672201E-3</v>
      </c>
      <c r="F178" s="5">
        <v>1.0012661506143701E-2</v>
      </c>
    </row>
    <row r="179" spans="1:6" x14ac:dyDescent="0.2">
      <c r="A179" s="4">
        <v>45065</v>
      </c>
      <c r="B179" s="5">
        <v>0</v>
      </c>
      <c r="C179" s="6">
        <v>-6.5416484954208499E-3</v>
      </c>
      <c r="D179" s="5">
        <v>-2.66729797979798E-2</v>
      </c>
      <c r="E179" s="6">
        <v>-7.6113722856502699E-3</v>
      </c>
      <c r="F179" s="5">
        <v>-1.1947275043217199E-2</v>
      </c>
    </row>
    <row r="180" spans="1:6" x14ac:dyDescent="0.2">
      <c r="A180" s="4">
        <v>45064</v>
      </c>
      <c r="B180" s="5">
        <v>-1.9375672766414999E-3</v>
      </c>
      <c r="C180" s="6">
        <v>-2.7544215714699598E-3</v>
      </c>
      <c r="D180" s="5">
        <v>4.4388078630311798E-3</v>
      </c>
      <c r="E180" s="6">
        <v>7.4424898511502302E-3</v>
      </c>
      <c r="F180" s="5">
        <v>1.9764391391817199E-4</v>
      </c>
    </row>
    <row r="181" spans="1:6" x14ac:dyDescent="0.2">
      <c r="A181" s="4">
        <v>45063</v>
      </c>
      <c r="B181" s="5">
        <v>5.6289240095259204E-3</v>
      </c>
      <c r="C181" s="6">
        <v>6.7133683596029003E-3</v>
      </c>
      <c r="D181" s="5">
        <v>5.5794675593814798E-3</v>
      </c>
      <c r="E181" s="6">
        <v>-1.20320855614974E-2</v>
      </c>
      <c r="F181" s="5">
        <v>-1.5276257487281801E-3</v>
      </c>
    </row>
    <row r="182" spans="1:6" x14ac:dyDescent="0.2">
      <c r="A182" s="4">
        <v>45060</v>
      </c>
      <c r="B182" s="5">
        <v>1.56112576956903E-2</v>
      </c>
      <c r="C182" s="6">
        <v>1.25609575882961E-2</v>
      </c>
      <c r="D182" s="5">
        <v>1.7023346303501899E-2</v>
      </c>
      <c r="E182" s="6">
        <v>1.13802816901409E-2</v>
      </c>
      <c r="F182" s="5">
        <v>1.15289667443593E-2</v>
      </c>
    </row>
    <row r="183" spans="1:6" x14ac:dyDescent="0.2">
      <c r="A183" s="4">
        <v>45059</v>
      </c>
      <c r="B183" s="5">
        <v>2.1992522542340601E-4</v>
      </c>
      <c r="C183" s="6">
        <v>4.1549191274670803E-3</v>
      </c>
      <c r="D183" s="5">
        <v>-2.1883920076118099E-2</v>
      </c>
      <c r="E183" s="6">
        <v>-3.37913944582062E-4</v>
      </c>
      <c r="F183" s="5">
        <v>-5.8961001509002199E-3</v>
      </c>
    </row>
    <row r="184" spans="1:6" x14ac:dyDescent="0.2">
      <c r="A184" s="4">
        <v>45058</v>
      </c>
      <c r="B184" s="5">
        <v>1.6316495306213701E-2</v>
      </c>
      <c r="C184" s="6">
        <v>1.32310930687114E-2</v>
      </c>
      <c r="D184" s="5">
        <v>3.5128036769533799E-2</v>
      </c>
      <c r="E184" s="6">
        <v>8.8636363636363097E-3</v>
      </c>
      <c r="F184" s="5">
        <v>8.1519979159440804E-3</v>
      </c>
    </row>
    <row r="185" spans="1:6" x14ac:dyDescent="0.2">
      <c r="A185" s="4">
        <v>45057</v>
      </c>
      <c r="B185" s="5">
        <v>-2.73913043478261E-2</v>
      </c>
      <c r="C185" s="6">
        <v>-1.5978695073235599E-2</v>
      </c>
      <c r="D185" s="5">
        <v>-3.5159961989230201E-2</v>
      </c>
      <c r="E185" s="6">
        <v>-3.1690140845070401E-2</v>
      </c>
      <c r="F185" s="5">
        <v>-2.4662814724973701E-2</v>
      </c>
    </row>
    <row r="186" spans="1:6" x14ac:dyDescent="0.2">
      <c r="A186" s="4">
        <v>45056</v>
      </c>
      <c r="B186" s="5">
        <v>1.0989010989011E-2</v>
      </c>
      <c r="C186" s="6">
        <v>-2.80318678076125E-3</v>
      </c>
      <c r="D186" s="5">
        <v>6.8569606123424602E-3</v>
      </c>
      <c r="E186" s="6">
        <v>7.0921985815602601E-3</v>
      </c>
      <c r="F186" s="5">
        <v>-8.4575669978158199E-4</v>
      </c>
    </row>
    <row r="187" spans="1:6" x14ac:dyDescent="0.2">
      <c r="A187" s="4">
        <v>45053</v>
      </c>
      <c r="B187" s="5">
        <v>7.0827799911464999E-3</v>
      </c>
      <c r="C187" s="6">
        <v>8.4808808213062501E-3</v>
      </c>
      <c r="D187" s="5">
        <v>-3.0206677265500401E-3</v>
      </c>
      <c r="E187" s="6">
        <v>-8.6784576513237108E-3</v>
      </c>
      <c r="F187" s="5">
        <v>7.5662399292272496E-3</v>
      </c>
    </row>
    <row r="188" spans="1:6" x14ac:dyDescent="0.2">
      <c r="A188" s="4">
        <v>45052</v>
      </c>
      <c r="B188" s="5">
        <v>5.3404539385848602E-3</v>
      </c>
      <c r="C188" s="6">
        <v>3.4338608539863699E-3</v>
      </c>
      <c r="D188" s="5">
        <v>-1.25588697017268E-2</v>
      </c>
      <c r="E188" s="6">
        <v>1.6505281690140799E-3</v>
      </c>
      <c r="F188" s="5">
        <v>5.2377367067748103E-3</v>
      </c>
    </row>
    <row r="189" spans="1:6" x14ac:dyDescent="0.2">
      <c r="A189" s="4">
        <v>45051</v>
      </c>
      <c r="B189" s="5">
        <v>1.19342490430082E-2</v>
      </c>
      <c r="C189" s="6">
        <v>5.5547215132861899E-3</v>
      </c>
      <c r="D189" s="5">
        <v>2.6922456875705401E-2</v>
      </c>
      <c r="E189" s="6">
        <v>2.9918404351767899E-2</v>
      </c>
      <c r="F189" s="5">
        <v>1.6774107814772701E-2</v>
      </c>
    </row>
    <row r="190" spans="1:6" x14ac:dyDescent="0.2">
      <c r="A190" s="4">
        <v>45050</v>
      </c>
      <c r="B190" s="5">
        <v>4.7511312217195104E-3</v>
      </c>
      <c r="C190" s="6">
        <v>-5.5240370259777996E-3</v>
      </c>
      <c r="D190" s="5">
        <v>2.3597359735973499E-2</v>
      </c>
      <c r="E190" s="6">
        <v>-2.5618374558303899E-2</v>
      </c>
      <c r="F190" s="5">
        <v>-6.6917175647543204E-3</v>
      </c>
    </row>
    <row r="191" spans="1:6" x14ac:dyDescent="0.2">
      <c r="A191" s="4">
        <v>45046</v>
      </c>
      <c r="B191" s="5">
        <v>5.0022737608003401E-3</v>
      </c>
      <c r="C191" s="6">
        <v>7.5210589651022904E-3</v>
      </c>
      <c r="D191" s="5">
        <v>3.3112582781457001E-3</v>
      </c>
      <c r="E191" s="6">
        <v>-3.3017829627999102E-3</v>
      </c>
      <c r="F191" s="5">
        <v>1.1965846343020201E-3</v>
      </c>
    </row>
    <row r="192" spans="1:6" x14ac:dyDescent="0.2">
      <c r="A192" s="4">
        <v>45045</v>
      </c>
      <c r="B192" s="5">
        <v>9.1033227127909405E-4</v>
      </c>
      <c r="C192" s="6">
        <v>-5.2371689361065399E-3</v>
      </c>
      <c r="D192" s="5">
        <v>-8.2101806239737295E-3</v>
      </c>
      <c r="E192" s="6">
        <v>2.4698319612044599E-2</v>
      </c>
      <c r="F192" s="5">
        <v>-3.1448934254502402E-4</v>
      </c>
    </row>
    <row r="193" spans="1:6" x14ac:dyDescent="0.2">
      <c r="A193" s="4">
        <v>45044</v>
      </c>
      <c r="B193" s="5">
        <v>-7.9024610521562406E-3</v>
      </c>
      <c r="C193" s="6">
        <v>-1.4961101137047101E-4</v>
      </c>
      <c r="D193" s="5">
        <v>3.11547578733491E-2</v>
      </c>
      <c r="E193" s="6">
        <v>6.6984559491372504E-3</v>
      </c>
      <c r="F193" s="5">
        <v>2.69259622431772E-3</v>
      </c>
    </row>
    <row r="194" spans="1:6" x14ac:dyDescent="0.2">
      <c r="A194" s="4">
        <v>45043</v>
      </c>
      <c r="B194" s="5">
        <v>-4.2715827338130298E-3</v>
      </c>
      <c r="C194" s="6">
        <v>-2.83455169327164E-3</v>
      </c>
      <c r="D194" s="5">
        <v>-4.2151407857022403E-3</v>
      </c>
      <c r="E194" s="6">
        <v>4.1750443524541603E-2</v>
      </c>
      <c r="F194" s="5">
        <v>-2.60659014924339E-3</v>
      </c>
    </row>
    <row r="195" spans="1:6" x14ac:dyDescent="0.2">
      <c r="A195" s="4">
        <v>45042</v>
      </c>
      <c r="B195" s="5">
        <v>-6.7400584138398395E-4</v>
      </c>
      <c r="C195" s="6">
        <v>-1.48964695367198E-3</v>
      </c>
      <c r="D195" s="5">
        <v>1.5234508729887001E-2</v>
      </c>
      <c r="E195" s="6">
        <v>8.9498806682577602E-3</v>
      </c>
      <c r="F195" s="5">
        <v>3.5396393487985198E-3</v>
      </c>
    </row>
    <row r="196" spans="1:6" x14ac:dyDescent="0.2">
      <c r="A196" s="4">
        <v>45039</v>
      </c>
      <c r="B196" s="5">
        <v>-1.50475768975436E-2</v>
      </c>
      <c r="C196" s="6">
        <v>-4.30139424503128E-3</v>
      </c>
      <c r="D196" s="5">
        <v>-9.8305084745761908E-3</v>
      </c>
      <c r="E196" s="6">
        <v>8.4235860409145602E-3</v>
      </c>
      <c r="F196" s="5">
        <v>4.6121206530851999E-5</v>
      </c>
    </row>
    <row r="197" spans="1:6" x14ac:dyDescent="0.2">
      <c r="A197" s="4">
        <v>45038</v>
      </c>
      <c r="B197" s="5">
        <v>-5.5017605633802804E-3</v>
      </c>
      <c r="C197" s="6">
        <v>2.9673590504457797E-4</v>
      </c>
      <c r="D197" s="5">
        <v>-2.36726411903953E-3</v>
      </c>
      <c r="E197" s="6">
        <v>-8.41649633281286E-4</v>
      </c>
      <c r="F197" s="5">
        <v>6.2288895753477803E-3</v>
      </c>
    </row>
    <row r="198" spans="1:6" x14ac:dyDescent="0.2">
      <c r="A198" s="4">
        <v>45037</v>
      </c>
      <c r="B198" s="5">
        <v>8.8105726872241702E-4</v>
      </c>
      <c r="C198" s="6">
        <v>1.7204950196196798E-2</v>
      </c>
      <c r="D198" s="5">
        <v>1.3538988860325601E-2</v>
      </c>
      <c r="E198" s="6">
        <v>-3.3553025763929998E-3</v>
      </c>
      <c r="F198" s="5">
        <v>5.1633631541122601E-3</v>
      </c>
    </row>
    <row r="199" spans="1:6" x14ac:dyDescent="0.2">
      <c r="A199" s="4">
        <v>45036</v>
      </c>
      <c r="B199" s="5">
        <v>-3.1982942430703598E-2</v>
      </c>
      <c r="C199" s="6">
        <v>-9.5665171898355397E-3</v>
      </c>
      <c r="D199" s="5">
        <v>-3.0247631710154599E-2</v>
      </c>
      <c r="E199" s="6">
        <v>-2.5344545666900298E-2</v>
      </c>
      <c r="F199" s="5">
        <v>-2.00297710883304E-2</v>
      </c>
    </row>
    <row r="200" spans="1:6" x14ac:dyDescent="0.2">
      <c r="A200" s="4">
        <v>45035</v>
      </c>
      <c r="B200" s="5">
        <v>1.14298037524262E-2</v>
      </c>
      <c r="C200" s="6">
        <v>-6.2388591800357201E-3</v>
      </c>
      <c r="D200" s="5">
        <v>-6.9318369367881404E-3</v>
      </c>
      <c r="E200" s="6">
        <v>1.52064568955441E-3</v>
      </c>
      <c r="F200" s="5">
        <v>-2.77084078278743E-3</v>
      </c>
    </row>
    <row r="201" spans="1:6" x14ac:dyDescent="0.2">
      <c r="A201" s="4">
        <v>45032</v>
      </c>
      <c r="B201" s="5">
        <v>3.29694809534418E-2</v>
      </c>
      <c r="C201" s="6">
        <v>-1.4832393948383299E-3</v>
      </c>
      <c r="D201" s="5">
        <v>-1.8121911037891601E-3</v>
      </c>
      <c r="E201" s="6">
        <v>1.49590407218331E-2</v>
      </c>
      <c r="F201" s="5">
        <v>5.1593040738884101E-3</v>
      </c>
    </row>
    <row r="202" spans="1:6" x14ac:dyDescent="0.2">
      <c r="A202" s="4">
        <v>45031</v>
      </c>
      <c r="B202" s="5">
        <v>-1.2972735268249901E-2</v>
      </c>
      <c r="C202" s="6">
        <v>4.55955334987595E-2</v>
      </c>
      <c r="D202" s="5">
        <v>-1.5728879520025999E-2</v>
      </c>
      <c r="E202" s="6">
        <v>-1.8069480065283298E-2</v>
      </c>
      <c r="F202" s="5">
        <v>6.3289132771723999E-3</v>
      </c>
    </row>
    <row r="203" spans="1:6" x14ac:dyDescent="0.2">
      <c r="A203" s="4">
        <v>45030</v>
      </c>
      <c r="B203" s="5">
        <v>-2.0249892287806898E-2</v>
      </c>
      <c r="C203" s="6">
        <v>1.3977325671687801E-3</v>
      </c>
      <c r="D203" s="5">
        <v>3.3864207879295997E-2</v>
      </c>
      <c r="E203" s="6">
        <v>4.6849379245725003E-3</v>
      </c>
      <c r="F203" s="5">
        <v>7.1243119139567899E-3</v>
      </c>
    </row>
    <row r="204" spans="1:6" x14ac:dyDescent="0.2">
      <c r="A204" s="4">
        <v>45029</v>
      </c>
      <c r="B204" s="5">
        <v>4.3103448275859602E-4</v>
      </c>
      <c r="C204" s="6">
        <v>-7.55240443896421E-3</v>
      </c>
      <c r="D204" s="5">
        <v>-5.0268096514737698E-4</v>
      </c>
      <c r="E204" s="6">
        <v>-1.30620737486997E-2</v>
      </c>
      <c r="F204" s="5">
        <v>1.98864296165532E-4</v>
      </c>
    </row>
    <row r="205" spans="1:6" x14ac:dyDescent="0.2">
      <c r="A205" s="4">
        <v>45028</v>
      </c>
      <c r="B205" s="5">
        <v>-1.02389078498294E-2</v>
      </c>
      <c r="C205" s="6">
        <v>-1.66717187026372E-2</v>
      </c>
      <c r="D205" s="5">
        <v>1.1525423728813501E-2</v>
      </c>
      <c r="E205" s="6">
        <v>-1.10882487425697E-2</v>
      </c>
      <c r="F205" s="5">
        <v>-3.85063080649244E-3</v>
      </c>
    </row>
    <row r="206" spans="1:6" x14ac:dyDescent="0.2">
      <c r="A206" s="4">
        <v>45025</v>
      </c>
      <c r="B206" s="5">
        <v>-6.1479754080983199E-3</v>
      </c>
      <c r="C206" s="6">
        <v>-1.5133171912832899E-3</v>
      </c>
      <c r="D206" s="5">
        <v>-1.1559725247110001E-2</v>
      </c>
      <c r="E206" s="6">
        <v>-5.9090909090909602E-3</v>
      </c>
      <c r="F206" s="5">
        <v>-3.8129013485600099E-3</v>
      </c>
    </row>
    <row r="207" spans="1:6" x14ac:dyDescent="0.2">
      <c r="A207" s="4">
        <v>45024</v>
      </c>
      <c r="B207" s="5">
        <v>1.9451048195374999E-2</v>
      </c>
      <c r="C207" s="6">
        <v>1.6146393972012899E-2</v>
      </c>
      <c r="D207" s="5">
        <v>-2.2917007693566901E-2</v>
      </c>
      <c r="E207" s="6">
        <v>1.39416983523448E-2</v>
      </c>
      <c r="F207" s="5">
        <v>8.2639586831113904E-3</v>
      </c>
    </row>
    <row r="208" spans="1:6" x14ac:dyDescent="0.2">
      <c r="A208" s="4">
        <v>45023</v>
      </c>
      <c r="B208" s="5">
        <v>1.29159369527145E-2</v>
      </c>
      <c r="C208" s="6">
        <v>8.3733912234454592E-3</v>
      </c>
      <c r="D208" s="5">
        <v>1.8676004669001101E-2</v>
      </c>
      <c r="E208" s="6">
        <v>1.6633477802506701E-2</v>
      </c>
      <c r="F208" s="5">
        <v>9.0524726865047599E-3</v>
      </c>
    </row>
    <row r="209" spans="1:6" x14ac:dyDescent="0.2">
      <c r="A209" s="4">
        <v>45022</v>
      </c>
      <c r="B209" s="5">
        <v>1.97411713094984E-3</v>
      </c>
      <c r="C209" s="6">
        <v>9.5491546649969106E-3</v>
      </c>
      <c r="D209" s="5">
        <v>3.4679089026915202E-2</v>
      </c>
      <c r="E209" s="6">
        <v>8.6247637051040504E-3</v>
      </c>
      <c r="F209" s="5">
        <v>1.2801864248289401E-2</v>
      </c>
    </row>
    <row r="210" spans="1:6" x14ac:dyDescent="0.2">
      <c r="A210" s="4">
        <v>45017</v>
      </c>
      <c r="B210" s="5">
        <v>-3.9327070133275297E-3</v>
      </c>
      <c r="C210" s="6">
        <v>-8.0745341614907509E-3</v>
      </c>
      <c r="D210" s="5">
        <v>-1.6460207025284099E-2</v>
      </c>
      <c r="E210" s="6">
        <v>0</v>
      </c>
      <c r="F210" s="5">
        <v>3.5256634637297699E-3</v>
      </c>
    </row>
    <row r="211" spans="1:6" x14ac:dyDescent="0.2">
      <c r="A211" s="4">
        <v>45016</v>
      </c>
      <c r="B211" s="5">
        <v>-4.5672031317964797E-3</v>
      </c>
      <c r="C211" s="6">
        <v>-1.45371078806427E-2</v>
      </c>
      <c r="D211" s="5">
        <v>-2.27197346600332E-2</v>
      </c>
      <c r="E211" s="6">
        <v>-1.7299431092534501E-2</v>
      </c>
      <c r="F211" s="5">
        <v>-8.6368818036301493E-3</v>
      </c>
    </row>
    <row r="212" spans="1:6" x14ac:dyDescent="0.2">
      <c r="A212" s="4">
        <v>45015</v>
      </c>
      <c r="B212" s="5">
        <v>7.0083223828295797E-3</v>
      </c>
      <c r="C212" s="6">
        <v>-1.68041552092885E-3</v>
      </c>
      <c r="D212" s="5">
        <v>3.3277870216306201E-3</v>
      </c>
      <c r="E212" s="6">
        <v>3.0016742406122801E-2</v>
      </c>
      <c r="F212" s="5">
        <v>5.3368605602293001E-3</v>
      </c>
    </row>
    <row r="213" spans="1:6" x14ac:dyDescent="0.2">
      <c r="A213" s="4">
        <v>45014</v>
      </c>
      <c r="B213" s="5">
        <v>-1.31233595800517E-3</v>
      </c>
      <c r="C213" s="6">
        <v>9.2506938020351492E-3</v>
      </c>
      <c r="D213" s="5">
        <v>-7.1039154138442997E-3</v>
      </c>
      <c r="E213" s="6">
        <v>-1.08824225218831E-2</v>
      </c>
      <c r="F213" s="5">
        <v>-6.5572894954300299E-4</v>
      </c>
    </row>
    <row r="214" spans="1:6" x14ac:dyDescent="0.2">
      <c r="A214" s="4">
        <v>45011</v>
      </c>
      <c r="B214" s="5">
        <v>3.9525691699605001E-3</v>
      </c>
      <c r="C214" s="6">
        <v>9.4941634241245496E-3</v>
      </c>
      <c r="D214" s="5">
        <v>3.0473272046305701E-2</v>
      </c>
      <c r="E214" s="6">
        <v>3.0849549121974599E-3</v>
      </c>
      <c r="F214" s="5">
        <v>9.8519363039957907E-3</v>
      </c>
    </row>
    <row r="215" spans="1:6" x14ac:dyDescent="0.2">
      <c r="A215" s="4">
        <v>45010</v>
      </c>
      <c r="B215" s="5">
        <v>-5.6768558951965599E-3</v>
      </c>
      <c r="C215" s="6">
        <v>1.5566625155669799E-4</v>
      </c>
      <c r="D215" s="5">
        <v>-2.6032167136461701E-2</v>
      </c>
      <c r="E215" s="6">
        <v>-5.4283691291008096E-3</v>
      </c>
      <c r="F215" s="5">
        <v>-5.6696892098634698E-3</v>
      </c>
    </row>
    <row r="216" spans="1:6" x14ac:dyDescent="0.2">
      <c r="A216" s="4">
        <v>45009</v>
      </c>
      <c r="B216" s="5">
        <v>-1.74367916303403E-3</v>
      </c>
      <c r="C216" s="6">
        <v>-1.03219842859344E-2</v>
      </c>
      <c r="D216" s="5">
        <v>1.9611158072696599E-2</v>
      </c>
      <c r="E216" s="6">
        <v>-1.53175444797934E-3</v>
      </c>
      <c r="F216" s="5">
        <v>2.0450233535697199E-3</v>
      </c>
    </row>
    <row r="217" spans="1:6" x14ac:dyDescent="0.2">
      <c r="A217" s="4">
        <v>45008</v>
      </c>
      <c r="B217" s="5">
        <v>-8.7108013937277297E-4</v>
      </c>
      <c r="C217" s="6">
        <v>-2.9185867895544998E-3</v>
      </c>
      <c r="D217" s="5">
        <v>-3.7428803905614302E-2</v>
      </c>
      <c r="E217" s="6">
        <v>-1.52941176470583E-3</v>
      </c>
      <c r="F217" s="5">
        <v>-4.0008325775710701E-3</v>
      </c>
    </row>
    <row r="218" spans="1:6" x14ac:dyDescent="0.2">
      <c r="A218" s="4">
        <v>45007</v>
      </c>
      <c r="B218" s="5">
        <v>3.9352864013992399E-3</v>
      </c>
      <c r="C218" s="6">
        <v>4.4746181144884696E-3</v>
      </c>
      <c r="D218" s="5">
        <v>1.7932833387675599E-3</v>
      </c>
      <c r="E218" s="6">
        <v>-1.35778113032378E-2</v>
      </c>
      <c r="F218" s="5">
        <v>2.5921525896931501E-3</v>
      </c>
    </row>
    <row r="219" spans="1:6" x14ac:dyDescent="0.2">
      <c r="A219" s="4">
        <v>45004</v>
      </c>
      <c r="B219" s="5">
        <v>1.1499336576735899E-2</v>
      </c>
      <c r="C219" s="6">
        <v>-1.5405946695424401E-3</v>
      </c>
      <c r="D219" s="5">
        <v>-1.68296201314313E-2</v>
      </c>
      <c r="E219" s="6">
        <v>-2.4232816215604101E-2</v>
      </c>
      <c r="F219" s="5">
        <v>-1.04680456894721E-2</v>
      </c>
    </row>
    <row r="220" spans="1:6" x14ac:dyDescent="0.2">
      <c r="A220" s="4">
        <v>45003</v>
      </c>
      <c r="B220" s="5">
        <v>1.7722640673460599E-3</v>
      </c>
      <c r="C220" s="6">
        <v>8.3890010874630699E-3</v>
      </c>
      <c r="D220" s="5">
        <v>-5.8954748247292002E-3</v>
      </c>
      <c r="E220" s="6">
        <v>2.54296330701347E-2</v>
      </c>
      <c r="F220" s="5">
        <v>2.5152787286678501E-3</v>
      </c>
    </row>
    <row r="221" spans="1:6" x14ac:dyDescent="0.2">
      <c r="A221" s="4">
        <v>45002</v>
      </c>
      <c r="B221" s="5">
        <v>-2.6513477684490601E-3</v>
      </c>
      <c r="C221" s="6">
        <v>-2.7885360185901701E-3</v>
      </c>
      <c r="D221" s="5">
        <v>8.1927710843373892E-3</v>
      </c>
      <c r="E221" s="6">
        <v>1.8448438978240299E-2</v>
      </c>
      <c r="F221" s="5">
        <v>-6.0173937071642302E-3</v>
      </c>
    </row>
    <row r="222" spans="1:6" x14ac:dyDescent="0.2">
      <c r="A222" s="4">
        <v>45001</v>
      </c>
      <c r="B222" s="5">
        <v>1.7993702204228499E-2</v>
      </c>
      <c r="C222" s="6">
        <v>1.97472353870458E-2</v>
      </c>
      <c r="D222" s="5">
        <v>-1.5498972006958701E-2</v>
      </c>
      <c r="E222" s="6">
        <v>-2.8301886792452598E-3</v>
      </c>
      <c r="F222" s="5">
        <v>7.9870216454064405E-3</v>
      </c>
    </row>
    <row r="223" spans="1:6" x14ac:dyDescent="0.2">
      <c r="A223" s="4">
        <v>45000</v>
      </c>
      <c r="B223" s="5">
        <v>-6.7024128686327096E-3</v>
      </c>
      <c r="C223" s="6">
        <v>4.9214160977933399E-3</v>
      </c>
      <c r="D223" s="5">
        <v>-2.25691760704901E-2</v>
      </c>
      <c r="E223" s="6">
        <v>-1.02707749766573E-2</v>
      </c>
      <c r="F223" s="5">
        <v>-1.7407457254118501E-3</v>
      </c>
    </row>
    <row r="224" spans="1:6" x14ac:dyDescent="0.2">
      <c r="A224" s="4">
        <v>44997</v>
      </c>
      <c r="B224" s="5">
        <v>1.7272727272727301E-2</v>
      </c>
      <c r="C224" s="6">
        <v>3.0254777070063302E-3</v>
      </c>
      <c r="D224" s="5">
        <v>1.18880025027374E-2</v>
      </c>
      <c r="E224" s="6">
        <v>7.8814257146217308E-3</v>
      </c>
      <c r="F224" s="5">
        <v>3.6381394575595301E-3</v>
      </c>
    </row>
    <row r="225" spans="1:6" x14ac:dyDescent="0.2">
      <c r="A225" s="4">
        <v>44996</v>
      </c>
      <c r="B225" s="5">
        <v>-9.9009900990098508E-3</v>
      </c>
      <c r="C225" s="6">
        <v>-6.3291139240506302E-3</v>
      </c>
      <c r="D225" s="5">
        <v>1.47619047619047E-2</v>
      </c>
      <c r="E225" s="6">
        <v>-4.7186729432862597E-2</v>
      </c>
      <c r="F225" s="5">
        <v>1.6890686332817399E-3</v>
      </c>
    </row>
    <row r="226" spans="1:6" x14ac:dyDescent="0.2">
      <c r="A226" s="4">
        <v>44995</v>
      </c>
      <c r="B226" s="5">
        <v>4.52079566003617E-3</v>
      </c>
      <c r="C226" s="6">
        <v>4.4500953591862001E-3</v>
      </c>
      <c r="D226" s="5">
        <v>-7.9302141157811304E-4</v>
      </c>
      <c r="E226" s="6">
        <v>-2.7942327036995598E-3</v>
      </c>
      <c r="F226" s="5">
        <v>-7.0427348395471598E-4</v>
      </c>
    </row>
    <row r="227" spans="1:6" x14ac:dyDescent="0.2">
      <c r="A227" s="4">
        <v>44994</v>
      </c>
      <c r="B227" s="5">
        <v>6.3694267515922503E-3</v>
      </c>
      <c r="C227" s="6">
        <v>4.9512857371027397E-3</v>
      </c>
      <c r="D227" s="5">
        <v>-1.0670014122077401E-2</v>
      </c>
      <c r="E227" s="6">
        <v>-1.7892425905598201E-2</v>
      </c>
      <c r="F227" s="5">
        <v>1.66837075633304E-3</v>
      </c>
    </row>
    <row r="228" spans="1:6" x14ac:dyDescent="0.2">
      <c r="A228" s="4">
        <v>44993</v>
      </c>
      <c r="B228" s="5">
        <v>-1.8749999999999999E-2</v>
      </c>
      <c r="C228" s="6">
        <v>7.4014481094127503E-3</v>
      </c>
      <c r="D228" s="5">
        <v>-4.7051442910926603E-4</v>
      </c>
      <c r="E228" s="6">
        <v>4.09049360146252E-2</v>
      </c>
      <c r="F228" s="5">
        <v>1.3363959387800601E-2</v>
      </c>
    </row>
    <row r="229" spans="1:6" x14ac:dyDescent="0.2">
      <c r="A229" s="4">
        <v>44990</v>
      </c>
      <c r="B229" s="5">
        <v>2.1431828545371599E-2</v>
      </c>
      <c r="C229" s="6">
        <v>1.5356967815716299E-2</v>
      </c>
      <c r="D229" s="5">
        <v>1.82050463110827E-2</v>
      </c>
      <c r="E229" s="6">
        <v>2.60257913247363E-2</v>
      </c>
      <c r="F229" s="5">
        <v>-3.0612490377212699E-3</v>
      </c>
    </row>
    <row r="230" spans="1:6" x14ac:dyDescent="0.2">
      <c r="A230" s="4">
        <v>44989</v>
      </c>
      <c r="B230" s="5">
        <v>-1.1271415689810599E-2</v>
      </c>
      <c r="C230" s="6">
        <v>1.357840702103E-2</v>
      </c>
      <c r="D230" s="5">
        <v>2.6894063627419001E-2</v>
      </c>
      <c r="E230" s="6">
        <v>-1.47840147840147E-2</v>
      </c>
      <c r="F230" s="5">
        <v>-3.6836357589802898E-3</v>
      </c>
    </row>
    <row r="231" spans="1:6" x14ac:dyDescent="0.2">
      <c r="A231" s="4">
        <v>44988</v>
      </c>
      <c r="B231" s="5">
        <v>-2.69784172661868E-3</v>
      </c>
      <c r="C231" s="6">
        <v>-8.2726671078755805E-4</v>
      </c>
      <c r="D231" s="5">
        <v>2.7983816587997101E-2</v>
      </c>
      <c r="E231" s="6">
        <v>2.1592920353982199E-2</v>
      </c>
      <c r="F231" s="5">
        <v>9.3320733320733703E-3</v>
      </c>
    </row>
    <row r="232" spans="1:6" x14ac:dyDescent="0.2">
      <c r="A232" s="4">
        <v>44987</v>
      </c>
      <c r="B232" s="5">
        <v>-8.9847259658575301E-4</v>
      </c>
      <c r="C232" s="6">
        <v>6.8299183741462998E-3</v>
      </c>
      <c r="D232" s="5">
        <v>-3.1927407158460399E-3</v>
      </c>
      <c r="E232" s="6">
        <v>8.5683684398429692E-3</v>
      </c>
      <c r="F232" s="5">
        <v>3.8278644857047401E-3</v>
      </c>
    </row>
    <row r="233" spans="1:6" x14ac:dyDescent="0.2">
      <c r="A233" s="4">
        <v>44986</v>
      </c>
      <c r="B233" s="5">
        <v>-9.7864768683274799E-3</v>
      </c>
      <c r="C233" s="6">
        <v>8.2297615048706405E-3</v>
      </c>
      <c r="D233" s="5">
        <v>1.98800342759212E-2</v>
      </c>
      <c r="E233" s="6">
        <v>-1.41952135147818E-2</v>
      </c>
      <c r="F233" s="5">
        <v>1.6210555215372E-2</v>
      </c>
    </row>
    <row r="234" spans="1:6" x14ac:dyDescent="0.2">
      <c r="A234" s="4">
        <v>44983</v>
      </c>
      <c r="B234" s="5">
        <v>-1.056338028169E-2</v>
      </c>
      <c r="C234" s="6">
        <v>-2.0723684210526401E-2</v>
      </c>
      <c r="D234" s="5">
        <v>-4.2029223444426202E-2</v>
      </c>
      <c r="E234" s="6">
        <v>-2.05676203607951E-2</v>
      </c>
      <c r="F234" s="5">
        <v>-2.53353898700533E-2</v>
      </c>
    </row>
    <row r="235" spans="1:6" x14ac:dyDescent="0.2">
      <c r="A235" s="4">
        <v>44982</v>
      </c>
      <c r="B235" s="5">
        <v>-2.6338893766462801E-3</v>
      </c>
      <c r="C235" s="6">
        <v>2.4732069249793899E-3</v>
      </c>
      <c r="D235" s="5">
        <v>1.9243641231593001E-2</v>
      </c>
      <c r="E235" s="6">
        <v>1.36268343815513E-2</v>
      </c>
      <c r="F235" s="5">
        <v>-1.0527153598830199E-3</v>
      </c>
    </row>
    <row r="236" spans="1:6" x14ac:dyDescent="0.2">
      <c r="A236" s="4">
        <v>44981</v>
      </c>
      <c r="B236" s="5">
        <v>1.46993318485524E-2</v>
      </c>
      <c r="C236" s="6">
        <v>-1.4817253868949201E-3</v>
      </c>
      <c r="D236" s="5">
        <v>5.3968253968253999E-2</v>
      </c>
      <c r="E236" s="6">
        <v>3.0373831775701199E-3</v>
      </c>
      <c r="F236" s="5">
        <v>4.9849530783557701E-3</v>
      </c>
    </row>
    <row r="237" spans="1:6" x14ac:dyDescent="0.2">
      <c r="A237" s="4">
        <v>44980</v>
      </c>
      <c r="B237" s="5">
        <v>6.2752129090094403E-3</v>
      </c>
      <c r="C237" s="6">
        <v>7.7982412477184898E-3</v>
      </c>
      <c r="D237" s="5">
        <v>1.26808358635471E-2</v>
      </c>
      <c r="E237" s="6">
        <v>-8.4559249391867892E-3</v>
      </c>
      <c r="F237" s="5">
        <v>2.0719151149988201E-3</v>
      </c>
    </row>
    <row r="238" spans="1:6" x14ac:dyDescent="0.2">
      <c r="A238" s="4">
        <v>44979</v>
      </c>
      <c r="B238" s="5">
        <v>-1.9771528998242499E-2</v>
      </c>
      <c r="C238" s="6">
        <v>-8.0645161290322197E-3</v>
      </c>
      <c r="D238" s="5">
        <v>2.79052689553882E-2</v>
      </c>
      <c r="E238" s="6">
        <v>1.81625191649958E-2</v>
      </c>
      <c r="F238" s="5">
        <v>-1.7783762730186E-3</v>
      </c>
    </row>
    <row r="239" spans="1:6" x14ac:dyDescent="0.2">
      <c r="A239" s="4">
        <v>44976</v>
      </c>
      <c r="B239" s="5">
        <v>-1.47186147186147E-2</v>
      </c>
      <c r="C239" s="6">
        <v>-1.92090395480226E-2</v>
      </c>
      <c r="D239" s="5">
        <v>1.09502598366743E-2</v>
      </c>
      <c r="E239" s="6">
        <v>1.1331106870229E-2</v>
      </c>
      <c r="F239" s="5">
        <v>1.0382113145388601E-3</v>
      </c>
    </row>
    <row r="240" spans="1:6" x14ac:dyDescent="0.2">
      <c r="A240" s="4">
        <v>44975</v>
      </c>
      <c r="B240" s="5">
        <v>-2.79823269513991E-2</v>
      </c>
      <c r="C240" s="6">
        <v>-2.9301159511125101E-2</v>
      </c>
      <c r="D240" s="5">
        <v>-3.9914468995010902E-2</v>
      </c>
      <c r="E240" s="6">
        <v>-3.0190861769809198E-2</v>
      </c>
      <c r="F240" s="5">
        <v>-1.39698103086024E-2</v>
      </c>
    </row>
    <row r="241" spans="1:6" x14ac:dyDescent="0.2">
      <c r="A241" s="4">
        <v>44974</v>
      </c>
      <c r="B241" s="5">
        <v>-1.89886480908153E-2</v>
      </c>
      <c r="C241" s="6">
        <v>2.6708562450904099E-3</v>
      </c>
      <c r="D241" s="5">
        <v>8.6268871315601497E-3</v>
      </c>
      <c r="E241" s="6">
        <v>1.0520163646990099E-2</v>
      </c>
      <c r="F241" s="5">
        <v>-5.62465364520823E-3</v>
      </c>
    </row>
    <row r="242" spans="1:6" x14ac:dyDescent="0.2">
      <c r="A242" s="4">
        <v>44973</v>
      </c>
      <c r="B242" s="5">
        <v>-8.5942295887046997E-3</v>
      </c>
      <c r="C242" s="6">
        <v>-1.1031696706028601E-2</v>
      </c>
      <c r="D242" s="5">
        <v>-2.5098601649336302E-3</v>
      </c>
      <c r="E242" s="6">
        <v>4.21488610062127E-2</v>
      </c>
      <c r="F242" s="5">
        <v>-1.0731027173921099E-3</v>
      </c>
    </row>
    <row r="243" spans="1:6" x14ac:dyDescent="0.2">
      <c r="A243" s="4">
        <v>44972</v>
      </c>
      <c r="B243" s="5">
        <v>1.7070758765820902E-2</v>
      </c>
      <c r="C243" s="6">
        <v>7.1987480438184996E-3</v>
      </c>
      <c r="D243" s="5">
        <v>6.5317035905271104E-2</v>
      </c>
      <c r="E243" s="6">
        <v>2.1528123444499701E-2</v>
      </c>
      <c r="F243" s="5">
        <v>2.52390440363046E-2</v>
      </c>
    </row>
    <row r="244" spans="1:6" x14ac:dyDescent="0.2">
      <c r="A244" s="4">
        <v>44969</v>
      </c>
      <c r="B244" s="5">
        <v>-1.5950920245398698E-2</v>
      </c>
      <c r="C244" s="6">
        <v>1.8164435946462699E-2</v>
      </c>
      <c r="D244" s="5">
        <v>1.55159038013964E-2</v>
      </c>
      <c r="E244" s="6">
        <v>1.11991946646533E-2</v>
      </c>
      <c r="F244" s="5">
        <v>9.3540540871717096E-3</v>
      </c>
    </row>
    <row r="245" spans="1:6" x14ac:dyDescent="0.2">
      <c r="A245" s="4">
        <v>44968</v>
      </c>
      <c r="B245" s="5">
        <v>-9.3192868719612007E-3</v>
      </c>
      <c r="C245" s="6">
        <v>-1.55294117647058E-2</v>
      </c>
      <c r="D245" s="5">
        <v>-5.0173678116557704E-3</v>
      </c>
      <c r="E245" s="6">
        <v>-3.3860045146725999E-3</v>
      </c>
      <c r="F245" s="5">
        <v>6.6826477999383602E-4</v>
      </c>
    </row>
    <row r="246" spans="1:6" x14ac:dyDescent="0.2">
      <c r="A246" s="4">
        <v>44967</v>
      </c>
      <c r="B246" s="5">
        <v>2.84437220642018E-3</v>
      </c>
      <c r="C246" s="6">
        <v>-1.5661707126076699E-3</v>
      </c>
      <c r="D246" s="5">
        <v>-2.3103581055062198E-3</v>
      </c>
      <c r="E246" s="6">
        <v>9.3670886075949093E-3</v>
      </c>
      <c r="F246" s="5">
        <v>-1.1023400229042901E-3</v>
      </c>
    </row>
    <row r="247" spans="1:6" x14ac:dyDescent="0.2">
      <c r="A247" s="4">
        <v>44966</v>
      </c>
      <c r="B247" s="5">
        <v>9.4339622641509292E-3</v>
      </c>
      <c r="C247" s="6">
        <v>5.5118110236220498E-3</v>
      </c>
      <c r="D247" s="5">
        <v>-8.5894254628745906E-3</v>
      </c>
      <c r="E247" s="6">
        <v>1.1782786885246E-2</v>
      </c>
      <c r="F247" s="5">
        <v>1.2309286536584701E-3</v>
      </c>
    </row>
    <row r="248" spans="1:6" x14ac:dyDescent="0.2">
      <c r="A248" s="4">
        <v>44965</v>
      </c>
      <c r="B248" s="5">
        <v>-1.0551948051948E-2</v>
      </c>
      <c r="C248" s="6">
        <v>3.3180597250750902E-3</v>
      </c>
      <c r="D248" s="5">
        <v>3.9277921047411103E-2</v>
      </c>
      <c r="E248" s="6">
        <v>-5.3503184713376397E-3</v>
      </c>
      <c r="F248" s="5">
        <v>5.2701896805987403E-3</v>
      </c>
    </row>
    <row r="249" spans="1:6" x14ac:dyDescent="0.2">
      <c r="A249" s="4">
        <v>44962</v>
      </c>
      <c r="B249" s="5">
        <v>7.3589533932952797E-3</v>
      </c>
      <c r="C249" s="6">
        <v>-1.49416342412452E-2</v>
      </c>
      <c r="D249" s="5">
        <v>-1.13747793685035E-2</v>
      </c>
      <c r="E249" s="6">
        <v>-8.8383838383838398E-3</v>
      </c>
      <c r="F249" s="5">
        <v>-2.2125798773625399E-3</v>
      </c>
    </row>
    <row r="250" spans="1:6" x14ac:dyDescent="0.2">
      <c r="A250" s="4">
        <v>44961</v>
      </c>
      <c r="B250" s="5">
        <v>-7.3051948051948996E-3</v>
      </c>
      <c r="C250" s="6">
        <v>2.3400936037441498E-3</v>
      </c>
      <c r="D250" s="5">
        <v>-1.29694154084399E-2</v>
      </c>
      <c r="E250" s="6">
        <v>1.9173851499163501E-2</v>
      </c>
      <c r="F250" s="5">
        <v>-6.3001127873841905E-4</v>
      </c>
    </row>
    <row r="251" spans="1:6" x14ac:dyDescent="0.2">
      <c r="A251" s="4">
        <v>44960</v>
      </c>
      <c r="B251" s="5">
        <v>6.5359477124182601E-3</v>
      </c>
      <c r="C251" s="6">
        <v>-6.2865497076023402E-2</v>
      </c>
      <c r="D251" s="5">
        <v>1.29411764705883E-2</v>
      </c>
      <c r="E251" s="6">
        <v>-7.4083535572869504E-3</v>
      </c>
      <c r="F251" s="5">
        <v>-1.35499067772551E-3</v>
      </c>
    </row>
    <row r="252" spans="1:6" x14ac:dyDescent="0.2">
      <c r="A252" s="4">
        <v>44959</v>
      </c>
      <c r="B252" s="5">
        <v>5.7518488085456596E-3</v>
      </c>
      <c r="C252" s="6">
        <v>8.1061164333087708E-3</v>
      </c>
      <c r="D252" s="5">
        <v>-4.5301385248970497E-2</v>
      </c>
      <c r="E252" s="6">
        <v>2.0198071409955699E-2</v>
      </c>
      <c r="F252" s="5">
        <v>7.7678220715634901E-3</v>
      </c>
    </row>
    <row r="253" spans="1:6" x14ac:dyDescent="0.2">
      <c r="A253" s="4">
        <v>44958</v>
      </c>
      <c r="B253" s="5">
        <v>1.6708437761069402E-2</v>
      </c>
      <c r="C253" s="6">
        <v>0</v>
      </c>
      <c r="D253" s="5">
        <v>-1.62062615101288E-2</v>
      </c>
      <c r="E253" s="6">
        <v>2.4820378837360898E-3</v>
      </c>
      <c r="F253" s="5">
        <v>9.2017741819691492E-3</v>
      </c>
    </row>
    <row r="254" spans="1:6" x14ac:dyDescent="0.2">
      <c r="A254" s="4">
        <v>44955</v>
      </c>
      <c r="B254" s="5">
        <v>-1.68377823408624E-2</v>
      </c>
      <c r="C254" s="6">
        <v>-2.1770472895040398E-2</v>
      </c>
      <c r="D254" s="5">
        <v>-1.8083182640144701E-2</v>
      </c>
      <c r="E254" s="6">
        <v>-3.18704944985456E-2</v>
      </c>
      <c r="F254" s="5">
        <v>-1.8186832971966601E-2</v>
      </c>
    </row>
    <row r="255" spans="1:6" x14ac:dyDescent="0.2">
      <c r="A255" s="4">
        <v>44954</v>
      </c>
      <c r="B255" s="5">
        <v>-5.7166190281748202E-3</v>
      </c>
      <c r="C255" s="6">
        <v>-9.7087378640775997E-3</v>
      </c>
      <c r="D255" s="5">
        <v>-2.0718965822560699E-2</v>
      </c>
      <c r="E255" s="6">
        <v>-1.19955016868673E-2</v>
      </c>
      <c r="F255" s="5">
        <v>-6.2764851074326904E-3</v>
      </c>
    </row>
    <row r="257" spans="1:6" x14ac:dyDescent="0.2">
      <c r="A257" s="1" t="s">
        <v>7</v>
      </c>
      <c r="B257" s="7">
        <f>AVERAGE(B3:B255)</f>
        <v>8.3266116476089194E-4</v>
      </c>
      <c r="C257" s="7">
        <f t="shared" ref="C257:F257" si="0">AVERAGE(C3:C255)</f>
        <v>6.6135654987589643E-4</v>
      </c>
      <c r="D257" s="7">
        <f t="shared" si="0"/>
        <v>1.5555536800596018E-3</v>
      </c>
      <c r="E257" s="7">
        <f t="shared" si="0"/>
        <v>1.2944350107515728E-3</v>
      </c>
      <c r="F257" s="7">
        <f t="shared" si="0"/>
        <v>5.5625094363755394E-4</v>
      </c>
    </row>
    <row r="258" spans="1:6" x14ac:dyDescent="0.2">
      <c r="A258" s="1" t="s">
        <v>8</v>
      </c>
      <c r="B258" s="7">
        <f>_xlfn.STDEV.S(B3:B255)</f>
        <v>1.0888609880199195E-2</v>
      </c>
      <c r="C258" s="7">
        <f t="shared" ref="C258:F258" si="1">_xlfn.STDEV.S(C3:C255)</f>
        <v>1.0760718011997E-2</v>
      </c>
      <c r="D258" s="7">
        <f t="shared" si="1"/>
        <v>1.986412375499183E-2</v>
      </c>
      <c r="E258" s="7">
        <f t="shared" si="1"/>
        <v>1.5429565548178766E-2</v>
      </c>
      <c r="F258" s="7">
        <f t="shared" si="1"/>
        <v>7.9357771215155942E-3</v>
      </c>
    </row>
    <row r="259" spans="1:6" x14ac:dyDescent="0.2">
      <c r="A259" s="1" t="s">
        <v>9</v>
      </c>
      <c r="B259" s="8">
        <f>B257*COUNT(B3:B255)</f>
        <v>0.21066327468450566</v>
      </c>
      <c r="C259" s="8">
        <f t="shared" ref="C259:F259" si="2">C257*COUNT(C3:C255)</f>
        <v>0.1673232071186018</v>
      </c>
      <c r="D259" s="8">
        <f t="shared" si="2"/>
        <v>0.39355508105507925</v>
      </c>
      <c r="E259" s="8">
        <f t="shared" si="2"/>
        <v>0.32749205772014794</v>
      </c>
      <c r="F259" s="8">
        <f t="shared" si="2"/>
        <v>0.14073148874030114</v>
      </c>
    </row>
    <row r="260" spans="1:6" x14ac:dyDescent="0.2">
      <c r="A260" s="1" t="s">
        <v>10</v>
      </c>
      <c r="B260" s="8">
        <f>B258*SQRT(COUNT(B3:B255))</f>
        <v>0.17319394260817089</v>
      </c>
      <c r="C260" s="8">
        <f t="shared" ref="C260:F260" si="3">C258*SQRT(COUNT(C3:C255))</f>
        <v>0.17115969791347002</v>
      </c>
      <c r="D260" s="8">
        <f t="shared" si="3"/>
        <v>0.31595823042938537</v>
      </c>
      <c r="E260" s="8">
        <f t="shared" si="3"/>
        <v>0.24542226412940393</v>
      </c>
      <c r="F260" s="8">
        <f t="shared" si="3"/>
        <v>0.12622626234726153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Q3</vt:lpstr>
      <vt:lpstr>Q8</vt:lpstr>
      <vt:lpstr>Q9</vt:lpstr>
      <vt:lpstr>Q15</vt:lpstr>
      <vt:lpstr>DAT</vt:lpstr>
      <vt:lpstr>LOW</vt:lpstr>
      <vt:lpstr>NET</vt:lpstr>
      <vt:lpstr>OPN</vt:lpstr>
      <vt:lpstr>PCC</vt:lpstr>
      <vt:lpstr>phTableData</vt:lpstr>
      <vt:lpstr>phTableHeader</vt:lpstr>
      <vt:lpstr>phTableName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Pinto</dc:creator>
  <cp:lastModifiedBy>Katie Tseng</cp:lastModifiedBy>
  <dcterms:created xsi:type="dcterms:W3CDTF">2022-01-27T10:17:17Z</dcterms:created>
  <dcterms:modified xsi:type="dcterms:W3CDTF">2026-04-20T07:35:32Z</dcterms:modified>
</cp:coreProperties>
</file>