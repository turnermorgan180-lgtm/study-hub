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userfs\mhfp500\w2k\Classes\Finance Fundamentals\Classes\Week 2\"/>
    </mc:Choice>
  </mc:AlternateContent>
  <bookViews>
    <workbookView xWindow="0" yWindow="0" windowWidth="16605" windowHeight="82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2" l="1"/>
  <c r="C16" i="2"/>
  <c r="C7" i="2"/>
  <c r="C8" i="2"/>
  <c r="C9" i="2"/>
  <c r="C10" i="2"/>
  <c r="C11" i="2"/>
  <c r="C12" i="2"/>
  <c r="C13" i="2"/>
  <c r="C14" i="2"/>
  <c r="C15" i="2"/>
  <c r="C6" i="2"/>
  <c r="B8" i="2"/>
  <c r="B9" i="2"/>
  <c r="B10" i="2"/>
  <c r="B11" i="2"/>
  <c r="B12" i="2"/>
  <c r="B13" i="2"/>
  <c r="B14" i="2"/>
  <c r="B15" i="2"/>
  <c r="B7" i="2"/>
  <c r="B6" i="2"/>
  <c r="A8" i="2"/>
  <c r="A9" i="2"/>
  <c r="A10" i="2" s="1"/>
  <c r="A11" i="2" s="1"/>
  <c r="A12" i="2" s="1"/>
  <c r="A13" i="2" s="1"/>
  <c r="A14" i="2" s="1"/>
  <c r="A15" i="2" s="1"/>
  <c r="A7" i="2"/>
  <c r="A23" i="1" l="1"/>
  <c r="C20" i="1"/>
  <c r="C10" i="1"/>
  <c r="C11" i="1"/>
  <c r="C12" i="1"/>
  <c r="C13" i="1"/>
  <c r="C14" i="1"/>
  <c r="C15" i="1"/>
  <c r="C16" i="1"/>
  <c r="C17" i="1"/>
  <c r="C18" i="1"/>
  <c r="C9" i="1"/>
  <c r="B11" i="1"/>
  <c r="B12" i="1" s="1"/>
  <c r="B13" i="1" s="1"/>
  <c r="B14" i="1" s="1"/>
  <c r="B15" i="1" s="1"/>
  <c r="B16" i="1" s="1"/>
  <c r="B17" i="1" s="1"/>
  <c r="B18" i="1" s="1"/>
  <c r="B10" i="1"/>
  <c r="B9" i="1"/>
  <c r="A17" i="1"/>
  <c r="A18" i="1"/>
  <c r="A14" i="1"/>
  <c r="A15" i="1" s="1"/>
  <c r="A16" i="1" s="1"/>
  <c r="A11" i="1"/>
  <c r="A12" i="1"/>
  <c r="A13" i="1" s="1"/>
  <c r="A10" i="1"/>
</calcChain>
</file>

<file path=xl/sharedStrings.xml><?xml version="1.0" encoding="utf-8"?>
<sst xmlns="http://schemas.openxmlformats.org/spreadsheetml/2006/main" count="15" uniqueCount="12">
  <si>
    <t>Time</t>
  </si>
  <si>
    <t>C</t>
  </si>
  <si>
    <t>Cash Flow</t>
  </si>
  <si>
    <t>PV Cash flow</t>
  </si>
  <si>
    <t>N</t>
  </si>
  <si>
    <t>r</t>
  </si>
  <si>
    <t>Prseent value</t>
  </si>
  <si>
    <t>Years</t>
  </si>
  <si>
    <t>Cash Flows</t>
  </si>
  <si>
    <t>Present Value of Cash flow</t>
  </si>
  <si>
    <t>Present value of Cash flows</t>
  </si>
  <si>
    <t>Present Value of Cash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</si>
</sst>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£&quot;#,##0.00;[Red]\-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8" fontId="0" fillId="0" borderId="0" xfId="0" applyNumberForma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308124</xdr:colOff>
      <xdr:row>0</xdr:row>
      <xdr:rowOff>0</xdr:rowOff>
    </xdr:from>
    <xdr:to>
      <xdr:col>20</xdr:col>
      <xdr:colOff>157296</xdr:colOff>
      <xdr:row>19</xdr:row>
      <xdr:rowOff>65760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4524" y="0"/>
          <a:ext cx="6554772" cy="3685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B3" sqref="A1:B3"/>
    </sheetView>
  </sheetViews>
  <sheetFormatPr defaultRowHeight="15" x14ac:dyDescent="0.25"/>
  <cols>
    <col min="1" max="1" width="11.85546875" bestFit="1" customWidth="1"/>
    <col min="2" max="2" width="11.140625" customWidth="1"/>
  </cols>
  <sheetData>
    <row r="1" spans="1:3" x14ac:dyDescent="0.25">
      <c r="A1" t="s">
        <v>4</v>
      </c>
      <c r="B1">
        <v>10</v>
      </c>
    </row>
    <row r="2" spans="1:3" x14ac:dyDescent="0.25">
      <c r="A2" t="s">
        <v>5</v>
      </c>
      <c r="B2" s="1">
        <v>0.05</v>
      </c>
    </row>
    <row r="3" spans="1:3" x14ac:dyDescent="0.25">
      <c r="A3" t="s">
        <v>1</v>
      </c>
      <c r="B3">
        <v>15000</v>
      </c>
    </row>
    <row r="8" spans="1:3" x14ac:dyDescent="0.25">
      <c r="A8" t="s">
        <v>0</v>
      </c>
      <c r="B8" t="s">
        <v>2</v>
      </c>
      <c r="C8" t="s">
        <v>3</v>
      </c>
    </row>
    <row r="9" spans="1:3" x14ac:dyDescent="0.25">
      <c r="A9">
        <v>1</v>
      </c>
      <c r="B9">
        <f>B3</f>
        <v>15000</v>
      </c>
      <c r="C9">
        <f>B9/(1+$B$2)^A9</f>
        <v>14285.714285714284</v>
      </c>
    </row>
    <row r="10" spans="1:3" x14ac:dyDescent="0.25">
      <c r="A10">
        <f>A9+1</f>
        <v>2</v>
      </c>
      <c r="B10">
        <f>B9</f>
        <v>15000</v>
      </c>
      <c r="C10">
        <f t="shared" ref="C10:C18" si="0">B10/(1+$B$2)^A10</f>
        <v>13605.442176870747</v>
      </c>
    </row>
    <row r="11" spans="1:3" x14ac:dyDescent="0.25">
      <c r="A11">
        <f t="shared" ref="A11:A18" si="1">A10+1</f>
        <v>3</v>
      </c>
      <c r="B11">
        <f t="shared" ref="B11:B18" si="2">B10</f>
        <v>15000</v>
      </c>
      <c r="C11">
        <f t="shared" si="0"/>
        <v>12957.56397797214</v>
      </c>
    </row>
    <row r="12" spans="1:3" x14ac:dyDescent="0.25">
      <c r="A12">
        <f t="shared" si="1"/>
        <v>4</v>
      </c>
      <c r="B12">
        <f t="shared" si="2"/>
        <v>15000</v>
      </c>
      <c r="C12">
        <f t="shared" si="0"/>
        <v>12340.537121878229</v>
      </c>
    </row>
    <row r="13" spans="1:3" x14ac:dyDescent="0.25">
      <c r="A13">
        <f t="shared" si="1"/>
        <v>5</v>
      </c>
      <c r="B13">
        <f t="shared" si="2"/>
        <v>15000</v>
      </c>
      <c r="C13">
        <f t="shared" si="0"/>
        <v>11752.892497026884</v>
      </c>
    </row>
    <row r="14" spans="1:3" x14ac:dyDescent="0.25">
      <c r="A14">
        <f t="shared" si="1"/>
        <v>6</v>
      </c>
      <c r="B14">
        <f t="shared" si="2"/>
        <v>15000</v>
      </c>
      <c r="C14">
        <f t="shared" si="0"/>
        <v>11193.230949549416</v>
      </c>
    </row>
    <row r="15" spans="1:3" x14ac:dyDescent="0.25">
      <c r="A15">
        <f t="shared" si="1"/>
        <v>7</v>
      </c>
      <c r="B15">
        <f t="shared" si="2"/>
        <v>15000</v>
      </c>
      <c r="C15">
        <f t="shared" si="0"/>
        <v>10660.219951951822</v>
      </c>
    </row>
    <row r="16" spans="1:3" x14ac:dyDescent="0.25">
      <c r="A16">
        <f t="shared" si="1"/>
        <v>8</v>
      </c>
      <c r="B16">
        <f t="shared" si="2"/>
        <v>15000</v>
      </c>
      <c r="C16">
        <f t="shared" si="0"/>
        <v>10152.590430430308</v>
      </c>
    </row>
    <row r="17" spans="1:3" x14ac:dyDescent="0.25">
      <c r="A17">
        <f t="shared" si="1"/>
        <v>9</v>
      </c>
      <c r="B17">
        <f t="shared" si="2"/>
        <v>15000</v>
      </c>
      <c r="C17">
        <f t="shared" si="0"/>
        <v>9669.1337432669588</v>
      </c>
    </row>
    <row r="18" spans="1:3" x14ac:dyDescent="0.25">
      <c r="A18">
        <f t="shared" si="1"/>
        <v>10</v>
      </c>
      <c r="B18">
        <f t="shared" si="2"/>
        <v>15000</v>
      </c>
      <c r="C18">
        <f t="shared" si="0"/>
        <v>9208.6988031113906</v>
      </c>
    </row>
    <row r="20" spans="1:3" x14ac:dyDescent="0.25">
      <c r="A20" t="s">
        <v>6</v>
      </c>
      <c r="C20">
        <f>+SUM(C9:C18)</f>
        <v>115826.02393777217</v>
      </c>
    </row>
    <row r="23" spans="1:3" x14ac:dyDescent="0.25">
      <c r="A23" s="2">
        <f>PV(B2,B1,B3)*(-1)</f>
        <v>115826.02393777219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G16" sqref="G16"/>
    </sheetView>
  </sheetViews>
  <sheetFormatPr defaultRowHeight="15" x14ac:dyDescent="0.25"/>
  <cols>
    <col min="1" max="1" width="13.5703125" customWidth="1"/>
    <col min="2" max="2" width="11.5703125" customWidth="1"/>
    <col min="3" max="3" width="11.85546875" bestFit="1" customWidth="1"/>
  </cols>
  <sheetData>
    <row r="1" spans="1:3" x14ac:dyDescent="0.25">
      <c r="A1" t="s">
        <v>4</v>
      </c>
      <c r="B1">
        <v>10</v>
      </c>
    </row>
    <row r="2" spans="1:3" x14ac:dyDescent="0.25">
      <c r="A2" t="s">
        <v>5</v>
      </c>
      <c r="B2" s="1">
        <v>0.05</v>
      </c>
    </row>
    <row r="3" spans="1:3" x14ac:dyDescent="0.25">
      <c r="A3" t="s">
        <v>1</v>
      </c>
      <c r="B3">
        <v>15000</v>
      </c>
    </row>
    <row r="5" spans="1:3" x14ac:dyDescent="0.25">
      <c r="A5" t="s">
        <v>7</v>
      </c>
      <c r="B5" t="s">
        <v>8</v>
      </c>
      <c r="C5" t="s">
        <v>9</v>
      </c>
    </row>
    <row r="6" spans="1:3" x14ac:dyDescent="0.25">
      <c r="A6">
        <v>1</v>
      </c>
      <c r="B6">
        <f>B3</f>
        <v>15000</v>
      </c>
      <c r="C6">
        <f>B6/(1+$B$2)^A6</f>
        <v>14285.714285714284</v>
      </c>
    </row>
    <row r="7" spans="1:3" x14ac:dyDescent="0.25">
      <c r="A7">
        <f>A6+1</f>
        <v>2</v>
      </c>
      <c r="B7">
        <f>B$6</f>
        <v>15000</v>
      </c>
      <c r="C7">
        <f t="shared" ref="C7:C15" si="0">B7/(1+$B$2)^A7</f>
        <v>13605.442176870747</v>
      </c>
    </row>
    <row r="8" spans="1:3" x14ac:dyDescent="0.25">
      <c r="A8">
        <f t="shared" ref="A8:A15" si="1">A7+1</f>
        <v>3</v>
      </c>
      <c r="B8">
        <f t="shared" ref="B8:B15" si="2">B$6</f>
        <v>15000</v>
      </c>
      <c r="C8">
        <f t="shared" si="0"/>
        <v>12957.56397797214</v>
      </c>
    </row>
    <row r="9" spans="1:3" x14ac:dyDescent="0.25">
      <c r="A9">
        <f t="shared" si="1"/>
        <v>4</v>
      </c>
      <c r="B9">
        <f t="shared" si="2"/>
        <v>15000</v>
      </c>
      <c r="C9">
        <f t="shared" si="0"/>
        <v>12340.537121878229</v>
      </c>
    </row>
    <row r="10" spans="1:3" x14ac:dyDescent="0.25">
      <c r="A10">
        <f t="shared" si="1"/>
        <v>5</v>
      </c>
      <c r="B10">
        <f t="shared" si="2"/>
        <v>15000</v>
      </c>
      <c r="C10">
        <f t="shared" si="0"/>
        <v>11752.892497026884</v>
      </c>
    </row>
    <row r="11" spans="1:3" x14ac:dyDescent="0.25">
      <c r="A11">
        <f t="shared" si="1"/>
        <v>6</v>
      </c>
      <c r="B11">
        <f t="shared" si="2"/>
        <v>15000</v>
      </c>
      <c r="C11">
        <f t="shared" si="0"/>
        <v>11193.230949549416</v>
      </c>
    </row>
    <row r="12" spans="1:3" x14ac:dyDescent="0.25">
      <c r="A12">
        <f t="shared" si="1"/>
        <v>7</v>
      </c>
      <c r="B12">
        <f t="shared" si="2"/>
        <v>15000</v>
      </c>
      <c r="C12">
        <f t="shared" si="0"/>
        <v>10660.219951951822</v>
      </c>
    </row>
    <row r="13" spans="1:3" x14ac:dyDescent="0.25">
      <c r="A13">
        <f t="shared" si="1"/>
        <v>8</v>
      </c>
      <c r="B13">
        <f t="shared" si="2"/>
        <v>15000</v>
      </c>
      <c r="C13">
        <f t="shared" si="0"/>
        <v>10152.590430430308</v>
      </c>
    </row>
    <row r="14" spans="1:3" x14ac:dyDescent="0.25">
      <c r="A14">
        <f t="shared" si="1"/>
        <v>9</v>
      </c>
      <c r="B14">
        <f t="shared" si="2"/>
        <v>15000</v>
      </c>
      <c r="C14">
        <f t="shared" si="0"/>
        <v>9669.1337432669588</v>
      </c>
    </row>
    <row r="15" spans="1:3" x14ac:dyDescent="0.25">
      <c r="A15">
        <f t="shared" si="1"/>
        <v>10</v>
      </c>
      <c r="B15">
        <f t="shared" si="2"/>
        <v>15000</v>
      </c>
      <c r="C15">
        <f t="shared" si="0"/>
        <v>9208.6988031113906</v>
      </c>
    </row>
    <row r="16" spans="1:3" x14ac:dyDescent="0.25">
      <c r="A16" t="s">
        <v>10</v>
      </c>
      <c r="C16" s="3">
        <f>SUM(C6:C15)</f>
        <v>115826.02393777217</v>
      </c>
    </row>
    <row r="19" spans="1:3" x14ac:dyDescent="0.25">
      <c r="A19" t="s">
        <v>11</v>
      </c>
      <c r="C19" s="4">
        <f>PV(B2,B1,B3,,0)*(-1)</f>
        <v>115826.02393777219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York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Pinto</dc:creator>
  <cp:lastModifiedBy>Helena Pinto</cp:lastModifiedBy>
  <dcterms:created xsi:type="dcterms:W3CDTF">2021-07-06T15:08:33Z</dcterms:created>
  <dcterms:modified xsi:type="dcterms:W3CDTF">2024-02-21T08:35:25Z</dcterms:modified>
</cp:coreProperties>
</file>